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5"/>
    <sheet state="visible" name="citas" sheetId="2" r:id="rId6"/>
    <sheet state="visible" name="q1" sheetId="3" r:id="rId7"/>
    <sheet state="visible" name="Copia de q1" sheetId="4" r:id="rId8"/>
    <sheet state="visible" name="q2" sheetId="5" r:id="rId9"/>
    <sheet state="visible" name="Copia de q2" sheetId="6" r:id="rId10"/>
    <sheet state="visible" name="q3" sheetId="7" r:id="rId11"/>
    <sheet state="visible" name="q4" sheetId="8" r:id="rId12"/>
    <sheet state="visible" name="Copia de q4" sheetId="9" r:id="rId13"/>
    <sheet state="visible" name="q5_códigos" sheetId="10" r:id="rId14"/>
    <sheet state="visible" name="q5_tablas" sheetId="11" r:id="rId15"/>
    <sheet state="visible" name="q6" sheetId="12" r:id="rId16"/>
    <sheet state="visible" name="q7" sheetId="13" r:id="rId17"/>
    <sheet state="visible" name="q8" sheetId="14" r:id="rId18"/>
    <sheet state="visible" name="q9" sheetId="15" r:id="rId19"/>
    <sheet state="visible" name="q10" sheetId="16" r:id="rId20"/>
    <sheet state="visible" name="q11" sheetId="17" r:id="rId21"/>
  </sheets>
  <definedNames>
    <definedName hidden="1" localSheetId="0" name="_xlnm._FilterDatabase">'Sheet 1'!$A$1:$BC$136</definedName>
  </definedNames>
  <calcPr/>
</workbook>
</file>

<file path=xl/sharedStrings.xml><?xml version="1.0" encoding="utf-8"?>
<sst xmlns="http://schemas.openxmlformats.org/spreadsheetml/2006/main" count="6328" uniqueCount="2142">
  <si>
    <t>id</t>
  </si>
  <si>
    <t>nombre</t>
  </si>
  <si>
    <t>edad</t>
  </si>
  <si>
    <t>genero</t>
  </si>
  <si>
    <t>numero</t>
  </si>
  <si>
    <t>departamento</t>
  </si>
  <si>
    <t>n_educativo</t>
  </si>
  <si>
    <t>oficio</t>
  </si>
  <si>
    <t>voto</t>
  </si>
  <si>
    <t>segmento</t>
  </si>
  <si>
    <t>voto2</t>
  </si>
  <si>
    <t>etiqueta</t>
  </si>
  <si>
    <t>q1</t>
  </si>
  <si>
    <t>q2</t>
  </si>
  <si>
    <t>q2a</t>
  </si>
  <si>
    <t>q2b</t>
  </si>
  <si>
    <t>q2c</t>
  </si>
  <si>
    <t>q2d</t>
  </si>
  <si>
    <t>q2_0</t>
  </si>
  <si>
    <t>q2_1</t>
  </si>
  <si>
    <t>q3</t>
  </si>
  <si>
    <t>q4</t>
  </si>
  <si>
    <t>q4_0</t>
  </si>
  <si>
    <t>q4_1</t>
  </si>
  <si>
    <t>Respuesta del Usuario</t>
  </si>
  <si>
    <t>q4a</t>
  </si>
  <si>
    <t>q4b</t>
  </si>
  <si>
    <t>q4c</t>
  </si>
  <si>
    <t>q5</t>
  </si>
  <si>
    <t>q5_a</t>
  </si>
  <si>
    <t>q5_b</t>
  </si>
  <si>
    <t>q5_c</t>
  </si>
  <si>
    <t>q5_d</t>
  </si>
  <si>
    <t>q5_e</t>
  </si>
  <si>
    <t>q5_f</t>
  </si>
  <si>
    <t>q6</t>
  </si>
  <si>
    <t>q6a</t>
  </si>
  <si>
    <t>q6b</t>
  </si>
  <si>
    <t>q6c</t>
  </si>
  <si>
    <t>q6d</t>
  </si>
  <si>
    <t>q6e</t>
  </si>
  <si>
    <t>q7</t>
  </si>
  <si>
    <t>q8</t>
  </si>
  <si>
    <t>q8a</t>
  </si>
  <si>
    <t>q8b</t>
  </si>
  <si>
    <t>q8c</t>
  </si>
  <si>
    <t>q9</t>
  </si>
  <si>
    <t>postura_q9</t>
  </si>
  <si>
    <t>fundamento_q9</t>
  </si>
  <si>
    <t>q10</t>
  </si>
  <si>
    <t>q11</t>
  </si>
  <si>
    <t>codigo_q11</t>
  </si>
  <si>
    <t>Christofer Murguiondo</t>
  </si>
  <si>
    <t>30 y menos</t>
  </si>
  <si>
    <t>Hombre</t>
  </si>
  <si>
    <t>59895514390</t>
  </si>
  <si>
    <t>Canelones</t>
  </si>
  <si>
    <t>Educación Media Superior</t>
  </si>
  <si>
    <t>Estudiante universitario</t>
  </si>
  <si>
    <t>Frente Amplio</t>
  </si>
  <si>
    <t>FA</t>
  </si>
  <si>
    <t xml:space="preserve"> </t>
  </si>
  <si>
    <t>Desaprueba</t>
  </si>
  <si>
    <t>Mala gestión y pésima responsabilidad</t>
  </si>
  <si>
    <t>D01</t>
  </si>
  <si>
    <t>CAPACIDAD ACTITUD PERSONAL</t>
  </si>
  <si>
    <t>desinteres o irresponsabilidad</t>
  </si>
  <si>
    <t>Aprueba</t>
  </si>
  <si>
    <t>Buena gestión, responsable y ayudó al país genuinamente</t>
  </si>
  <si>
    <t>EVALUACION PERSONAL</t>
  </si>
  <si>
    <t>(POS) compromiso / responsabilidad personal</t>
  </si>
  <si>
    <t>APP-LID</t>
  </si>
  <si>
    <t>Aumentar la inversión extranjera y bajar algunos puntos de inflación</t>
  </si>
  <si>
    <t>No estoy segur</t>
  </si>
  <si>
    <t>Depende</t>
  </si>
  <si>
    <t>Mientras sea buen presidente, no importa el género</t>
  </si>
  <si>
    <t>Buenos profesores que buscan que el estudiante aprenda, buen nivel</t>
  </si>
  <si>
    <t>defensa_entusiasta</t>
  </si>
  <si>
    <t>docentes_y_gestion</t>
  </si>
  <si>
    <t>A</t>
  </si>
  <si>
    <t>Más libertad de cátedra</t>
  </si>
  <si>
    <t>docentes_gestion_gobernanza</t>
  </si>
  <si>
    <t>Carolina Panizza</t>
  </si>
  <si>
    <t>31 a 59</t>
  </si>
  <si>
    <t>Mujer</t>
  </si>
  <si>
    <t>59895884927</t>
  </si>
  <si>
    <t>Universidad o posgrado</t>
  </si>
  <si>
    <t>Auditora</t>
  </si>
  <si>
    <t>Ni uno, ni otro</t>
  </si>
  <si>
    <t>No he notado nada trascendente en la gestión.</t>
  </si>
  <si>
    <t>N04</t>
  </si>
  <si>
    <t>RITMO DE GESTION</t>
  </si>
  <si>
    <t>falta de resultados visibles</t>
  </si>
  <si>
    <t>Creo que no hizo buena gestión, lamentablemente le tocó gobernar con la pandemia, pero considero que empeoro el tema de desempleo, salud y de delincuencia</t>
  </si>
  <si>
    <t>PANDEMIA / CRISIS</t>
  </si>
  <si>
    <t>(NEG) contexto dificil no lo justifica</t>
  </si>
  <si>
    <t>Creo que no hizo buena gestión... empeoro el tema de desempleo, salud y de delincuencia</t>
  </si>
  <si>
    <t>DES-IND</t>
  </si>
  <si>
    <t>NEU-MIX</t>
  </si>
  <si>
    <t>Principalmente tomar medidas con respecto a la delincuencia. Aplicar las medidas necesarias para que la sociedad se sienta un poco más segura</t>
  </si>
  <si>
    <t>No me imagino a nadie, no hay un político importante o con trayectoria como en elecciones pasadas</t>
  </si>
  <si>
    <t>No me imagino a nadie, no hay un político importante o con trayectoria...</t>
  </si>
  <si>
    <t>No sé</t>
  </si>
  <si>
    <t>No creo que influya positivamente o negativamente el sexo del  presidente</t>
  </si>
  <si>
    <t>La educación pública es buena, tengo hijos que concurren a escuela pública, de tiempo completo. Hay escuelas que pueden tener una mala gestión por parte de la directora, o no estar comprometidos con la educación de los niños pero creo que es buena en general</t>
  </si>
  <si>
    <t>apoyo_con_matices</t>
  </si>
  <si>
    <t>Menos niños en el aula</t>
  </si>
  <si>
    <t>cobertura_tiempo_plantel</t>
  </si>
  <si>
    <t>Cristina</t>
  </si>
  <si>
    <t>60 y más</t>
  </si>
  <si>
    <t>59891476217</t>
  </si>
  <si>
    <t>Eduación Media Básica</t>
  </si>
  <si>
    <t>Empleada</t>
  </si>
  <si>
    <t>Se está  cumpliendo  lo prometido lento pero firme!!!</t>
  </si>
  <si>
    <t>A02</t>
  </si>
  <si>
    <t>PROMESAS Y EXPECTATIVAS</t>
  </si>
  <si>
    <t>cumplimiento</t>
  </si>
  <si>
    <t>No tengo mucho interés como se manejo su gobierno</t>
  </si>
  <si>
    <t>CALIFICACION GENERICA</t>
  </si>
  <si>
    <t>(NEU) valoracion general mixta / indefinida</t>
  </si>
  <si>
    <t>NEU-IND</t>
  </si>
  <si>
    <t>Actuar más  rápidamente, no dar ventajas!!</t>
  </si>
  <si>
    <t>Cosse!!</t>
  </si>
  <si>
    <t>Sí</t>
  </si>
  <si>
    <t>Ya es hora de alguna mujer!! Ya están bien preparadas!!</t>
  </si>
  <si>
    <t>Se tendría  que volver a la educación de antes!!</t>
  </si>
  <si>
    <t>orgullo_historico_y_preocupacion</t>
  </si>
  <si>
    <t>sin_fundamento_especifico</t>
  </si>
  <si>
    <t>Como se esta educando!! El nivel de aprendizaje!!</t>
  </si>
  <si>
    <t>calidad_exigencia_aprendizajes</t>
  </si>
  <si>
    <t>Deborah</t>
  </si>
  <si>
    <t>59891631498</t>
  </si>
  <si>
    <t>Ni apruebo ni desapruebo: hay medidas que me parecen bien, pero todavía no veo resultados claros como para inclinarme por uno u otro</t>
  </si>
  <si>
    <t>N02</t>
  </si>
  <si>
    <t>N01</t>
  </si>
  <si>
    <t>BALANCE DE GESTION</t>
  </si>
  <si>
    <t>balance equilibrado</t>
  </si>
  <si>
    <t>Tuvo aciertos en algunos temas, pero también decisiones que no compartí.</t>
  </si>
  <si>
    <t>Debería priorizar la seguridad con medidas concretas, impulsar la economía para bajar el costo de vida y generar empleo, y reforzar áreas clave como educación y salud. Además, sería importante lograr acuerdos con otros sectores políticos para avanzar en soluciones más estables</t>
  </si>
  <si>
    <t>No</t>
  </si>
  <si>
    <t>Sí, sería un paso importante para la igualdad y la representación. Uruguay todavía tiene ese debe, y estaría bueno que suceda</t>
  </si>
  <si>
    <t>Siento que ha perdido calidad y que necesita cambios importantes para mejorar los resultados</t>
  </si>
  <si>
    <t>critica_moderada</t>
  </si>
  <si>
    <t>Mejorar la calidad de la enseñanza
Actualizar programas y contenidos
Mayor apoyo y formación docente
Reducir la deserción estudiantil
Mejorar infraestructura y recursos</t>
  </si>
  <si>
    <t>contenidos_curricula_metodologias</t>
  </si>
  <si>
    <t>Alejandra Hernández</t>
  </si>
  <si>
    <t>59894791455</t>
  </si>
  <si>
    <t>Ama de casa</t>
  </si>
  <si>
    <t>Otro, Blanco o Anulado</t>
  </si>
  <si>
    <t>CM</t>
  </si>
  <si>
    <t>No a estado ni mal ni bien</t>
  </si>
  <si>
    <t>APOYO DESAPROBACION / GENERICA</t>
  </si>
  <si>
    <t>valoracion general indefinida</t>
  </si>
  <si>
    <t>Creo q le toco bailar con la más fea y salio bastante bien</t>
  </si>
  <si>
    <t>(POS) contexto dificil como justificacion</t>
  </si>
  <si>
    <t>APP-RES</t>
  </si>
  <si>
    <t>Más seguridad,más presupuesto para educación Más trabajo</t>
  </si>
  <si>
    <t>Para variar un poco y ver q pasa No hay peor gestión q la q no se haga</t>
  </si>
  <si>
    <t>Es muy buena pero tiene poco presupuesto</t>
  </si>
  <si>
    <t>recursos_infraestructura_presupuesto</t>
  </si>
  <si>
    <t>Mejoras edilicias sobre todo</t>
  </si>
  <si>
    <t>presupuesto_infraestructura_recursos</t>
  </si>
  <si>
    <t>Alina</t>
  </si>
  <si>
    <t>59898683335</t>
  </si>
  <si>
    <t>Si bien su gestión no es perfecta valoro lo que ha hecho</t>
  </si>
  <si>
    <t>A01</t>
  </si>
  <si>
    <t>predominio positivo con reservas</t>
  </si>
  <si>
    <t>Su gestión no me parece mala pero no estuve de acuerdo con muchos de los puntos que llevó adelante</t>
  </si>
  <si>
    <t>Su gestión no me parece mala pero no estuve de acuerdo con muchos de los puntos...</t>
  </si>
  <si>
    <t>Comunicar mejor lo que se realiza y ser más precavidos para evitar situaciones que puedan empañar la gestión</t>
  </si>
  <si>
    <t>En este momento no, aunque el intendente de paysandú podría presentarse a la carrera electoral</t>
  </si>
  <si>
    <t>En este momento no, aunque el intendente de paysandú podría presentarse...</t>
  </si>
  <si>
    <t>Me encantaría tener una mujer presidenta, sería un hecho histórico y un cambio muy importante para la política de nuestro país, pero eso no significa que haya que votar a cualquier mujer que se postule solo por el hecho de que sea mujer</t>
  </si>
  <si>
    <t>Creo q tenemos una educación de calidad a nivel general pero aun falta mucho para cubrir todas las necesidades y siempre hay cosas a mejorar</t>
  </si>
  <si>
    <t>B</t>
  </si>
  <si>
    <t>Infraestructura de muchos centros y temas de presupuesto en general</t>
  </si>
  <si>
    <t>Carolina</t>
  </si>
  <si>
    <t>59891263042</t>
  </si>
  <si>
    <t>Colonia</t>
  </si>
  <si>
    <t>Empleada Pública</t>
  </si>
  <si>
    <t>Interior Frente Amplio</t>
  </si>
  <si>
    <t>Ha hecho cosas buenas pero en muchos aspectos lo veo flojo</t>
  </si>
  <si>
    <t>También tuvo cosas buenas y malas</t>
  </si>
  <si>
    <t>Principalmente tema seguridad que es un desastre</t>
  </si>
  <si>
    <t>Realmente no se no estoy decidida por ningúno</t>
  </si>
  <si>
    <t>Seria bueno para cambiar el rumbo y la historia del país</t>
  </si>
  <si>
    <t>Creo que es buena pero como siempre se critica  a las escuelas pero hay cosas básicas de educación que deben venir de la casa</t>
  </si>
  <si>
    <t>valores_disciplina_y_familias</t>
  </si>
  <si>
    <t>Mayor presupuesto para auxiliares de servicio</t>
  </si>
  <si>
    <t>Mercedes Bello</t>
  </si>
  <si>
    <t>59899081238</t>
  </si>
  <si>
    <t>Es un tibio..</t>
  </si>
  <si>
    <t>lentitud o tibieza</t>
  </si>
  <si>
    <t>No veo grandes cambios comparado con este gobierno...</t>
  </si>
  <si>
    <t>CUMPLIMIENTO / RESULTADOS</t>
  </si>
  <si>
    <t>(NEG) falta de resultados</t>
  </si>
  <si>
    <t>NEU-CON</t>
  </si>
  <si>
    <t>Y en casi 2 años de gobierno no han hecho nada ... la verdad ya no tengo esperanzas</t>
  </si>
  <si>
    <t>Si , Carolina Cosse</t>
  </si>
  <si>
    <t>Es necesaria una mirada femenina en un cargo tan importante en el gobierno</t>
  </si>
  <si>
    <t>Como trabajadora de la educación creo que hay debe gigante con la educación desde hace mucho tiempo</t>
  </si>
  <si>
    <t>Más personal calificado para niños con capacidades diferentes, más personal no docente en las escuelas</t>
  </si>
  <si>
    <t>inclusion_apoyos_bienestar</t>
  </si>
  <si>
    <t>Lourdes Vila</t>
  </si>
  <si>
    <t>59898272373</t>
  </si>
  <si>
    <t>Magisterio o profesorado</t>
  </si>
  <si>
    <t>Jubilada</t>
  </si>
  <si>
    <t>Porque muchas cosas que prometieron no veo que las cumplan</t>
  </si>
  <si>
    <t>D02</t>
  </si>
  <si>
    <t>incumplimiento</t>
  </si>
  <si>
    <t>NS/NC</t>
  </si>
  <si>
    <t>Porque realmente estoy con un pensamiento muy desfavorable últimamente para los gobernantes, prometen y se olvidan</t>
  </si>
  <si>
    <t>(NEG) incumplimiento</t>
  </si>
  <si>
    <t>Porque realmente estoy con un pensamiento muy desfavorable... prometen y se olvidan</t>
  </si>
  <si>
    <t>DES-INC</t>
  </si>
  <si>
    <t>Y hay muchas cosas a cumplir,trabajo  salud educación y los más olvidados los jubilados</t>
  </si>
  <si>
    <t>Sinceramente no</t>
  </si>
  <si>
    <t>Podría ser pero tendría que poner firmeza y cumplir</t>
  </si>
  <si>
    <t>Hay si educación pública pero hay falta de valores</t>
  </si>
  <si>
    <t>Valorar un poco más los sueldos</t>
  </si>
  <si>
    <t>Graciela Fernández</t>
  </si>
  <si>
    <t>59894583422</t>
  </si>
  <si>
    <t>En algunos aspectos me gusta y en otros no</t>
  </si>
  <si>
    <t>Por lo mismo que Orsi, pero pensando mejor fue más lo que desaprobé que lo que me gusto</t>
  </si>
  <si>
    <t>No se, en esta época de conflicto bélico y el aumento del petróleo habrá que hacer ajustes</t>
  </si>
  <si>
    <t>Porque hasta ahora no la hubo</t>
  </si>
  <si>
    <t>Es accesible a todos, eso es super valioso</t>
  </si>
  <si>
    <t>valor_publico_igualdad</t>
  </si>
  <si>
    <t>C</t>
  </si>
  <si>
    <t>Ampliar horarios</t>
  </si>
  <si>
    <t>Araceli Baptista</t>
  </si>
  <si>
    <t>59897737005</t>
  </si>
  <si>
    <t>Terciario no universitario</t>
  </si>
  <si>
    <t>Veo poca acción en el gobierno, se necesita mas movimiento. No tanto viaje y más darle para adelante</t>
  </si>
  <si>
    <t>D06</t>
  </si>
  <si>
    <t>No soy blanca, el gobierno para un sector de la población, no para todos</t>
  </si>
  <si>
    <t>(NEG) desconexion / distancia personal</t>
  </si>
  <si>
    <t>DES-SOC</t>
  </si>
  <si>
    <t>Ya lo dijimos antes más trabajo, más educación y mano un poco más dura</t>
  </si>
  <si>
    <t>No me imagino a nadie</t>
  </si>
  <si>
    <t>Depende de que mujer se postule</t>
  </si>
  <si>
    <t>La educación perdió en nuestro país muchos valores</t>
  </si>
  <si>
    <t>D</t>
  </si>
  <si>
    <t>Más horas de clase, y cambiar los planes que son viejos</t>
  </si>
  <si>
    <t>Ana</t>
  </si>
  <si>
    <t>59896273235</t>
  </si>
  <si>
    <t>Partido Nacional</t>
  </si>
  <si>
    <t>El Presidente tiene que mandar. Y no se ve que mande. Más bien es un triunvirato con Pacha Sánchez y Díaz. Y el se ve muy desdibujado.</t>
  </si>
  <si>
    <t>LIDERAZGO Y CONDUCCION</t>
  </si>
  <si>
    <t>conduccion delegada</t>
  </si>
  <si>
    <t>Un Presidente que lideraba. Con aciertos y errores, pero se lo veía 100% comprometido con el cargo.</t>
  </si>
  <si>
    <t>LIDERAZGO / CONDUCCION</t>
  </si>
  <si>
    <t>(POS) liderazgo firme</t>
  </si>
  <si>
    <t>Un Presidente que lideraba. Con aciertos y errores, pero se lo veía 100% comprometido...</t>
  </si>
  <si>
    <t>Atacar la inseguridad, la gente en situación de calle y echar a Castillo del Ministerio de Trabajo para que las empresas multinacionales no se sigan yendo.</t>
  </si>
  <si>
    <t>Sí. Luis Lacalle Pou.</t>
  </si>
  <si>
    <t>Y no importan los genitales y si es hombre o mujer. Importa que sea capaz para el cargo. Que tenga presencia, que ordene, que lidere.</t>
  </si>
  <si>
    <t>Tiene sus cosas buenas al ser gratuita y tener cobertura para todos. Pero lamentablemente los sindicatos han destrozado la educación. Cada vez es peor lo poco que se enseña. Muchos salen del liceo sin comprensión lectora. Y de la escuela sin saber leer y escribir.</t>
  </si>
  <si>
    <t>critica_severa</t>
  </si>
  <si>
    <t>Que manden las autoridades y no los sindicatos. Menos tablets y más lecto escritura como se hacía antes.</t>
  </si>
  <si>
    <t>Isabel</t>
  </si>
  <si>
    <t>59899825457</t>
  </si>
  <si>
    <t>Porque hasta ahora todo lo que ha hecho es razonable. No esperaba mucho más</t>
  </si>
  <si>
    <t>A07</t>
  </si>
  <si>
    <t>coherencia y sensatez</t>
  </si>
  <si>
    <t>Arranco con la LUC que no pareció una buena forma de gobernar, siguió con la gestión de la pandemia que no me gustó, desde la demora en la vacuna pasando por la falta de atenuantes económico para los que estaban perdiendo ingresos y luego son ningún tipo de aislamiento cuando la cantidad de muertes se disparó , siguió el escándalo de lo de Astesiano y por no extenderme mencionó , no porque ahí se terminara el tema del pasaporte a Marset, destrucción de documentos etc</t>
  </si>
  <si>
    <t>HECHOS DEL GOBIERNO</t>
  </si>
  <si>
    <t>(NEG) escandalo politico / institucional</t>
  </si>
  <si>
    <t>Arranco con la LUC... gestión de la pandemia que no me gustó... escándalo de Astesiano... Marset</t>
  </si>
  <si>
    <t>DES-LUC</t>
  </si>
  <si>
    <t>DES-COR</t>
  </si>
  <si>
    <t>Seguir buscando aumento de fuentes de empleo, seguir propiciando la negociación de salarios en los concejos, seguir mejorando la salud, seguir manteniendo baja la inflación, y ocuparse a fondo de la gente en situación de calle</t>
  </si>
  <si>
    <t>Me imagino a Carolina Cose y a Lustemberg</t>
  </si>
  <si>
    <t>Es bueno que las mujeres estén en los principales lugares de decisión.</t>
  </si>
  <si>
    <t>La educación pública es la forma de movilidad social. Es lo que hace la diferencia cuando se nace en una familia de bajos recursos. Supongo que hay que mejorarla permanentemente y creo que con el aumento de comedores y horario extendido se está en un buen camino</t>
  </si>
  <si>
    <t>Mejorar los salarios de los docentes y aumentar la asignación de recursos sería fundamental para poder avanzar en mejoras de fondo</t>
  </si>
  <si>
    <t>Agustina</t>
  </si>
  <si>
    <t>59898714758</t>
  </si>
  <si>
    <t>Montevideo</t>
  </si>
  <si>
    <t>Estadistica</t>
  </si>
  <si>
    <t>oficialista_abierto</t>
  </si>
  <si>
    <t>No logro hacer nada de lo que dijo</t>
  </si>
  <si>
    <t>Fueron años que pasaron muchas cosas desde una pandemia y supo cómo llevar el país adelante en todo momento</t>
  </si>
  <si>
    <t>(POS) manejo positivo de crisis</t>
  </si>
  <si>
    <t>Fueron años que pasaron muchas cosas desde una pandemia y supo cómo llevar el país...</t>
  </si>
  <si>
    <t>APP-PAN</t>
  </si>
  <si>
    <t>Deberían cambiar con acciones y que se vean resultados más que nada en la seguridad</t>
  </si>
  <si>
    <t>Lacalle Pou</t>
  </si>
  <si>
    <t>Me parece que depende la persona que sea es indistinto hombre o mujer</t>
  </si>
  <si>
    <t>Creo que está cada vez peor.</t>
  </si>
  <si>
    <t>El sistema de educación de raíz, las instituciones</t>
  </si>
  <si>
    <t>cambio_integral_del_sistema</t>
  </si>
  <si>
    <t>Brisa Carranza</t>
  </si>
  <si>
    <t>59891340394</t>
  </si>
  <si>
    <t>Río Negro</t>
  </si>
  <si>
    <t>Estudiar</t>
  </si>
  <si>
    <t>Interior Coalición</t>
  </si>
  <si>
    <t>oposicion_abierta</t>
  </si>
  <si>
    <t>Porque no me gusta cómo presidentes</t>
  </si>
  <si>
    <t>D07</t>
  </si>
  <si>
    <t>valoracion general negativa</t>
  </si>
  <si>
    <t>Porque no vi muchas mejoras</t>
  </si>
  <si>
    <t>Pensar en el bien estar del país no solo de si entorno</t>
  </si>
  <si>
    <t>Aún no me imagino pero espero que no sea ninguno del frente amplio porque su manejo arruinó el país</t>
  </si>
  <si>
    <t>Aún no me imagino pero espero que no sea ninguno del frente amplio...</t>
  </si>
  <si>
    <t>Porque aún no se cómo se puede desempeñar una mujer</t>
  </si>
  <si>
    <t>Que está muy mal la educación pública</t>
  </si>
  <si>
    <t>Tema de la enseñanza,el personal docente también</t>
  </si>
  <si>
    <t>Rossana</t>
  </si>
  <si>
    <t>59896488710</t>
  </si>
  <si>
    <t>Docente</t>
  </si>
  <si>
    <t>oficialista_acerrimo</t>
  </si>
  <si>
    <t>Demasiado tibio</t>
  </si>
  <si>
    <t>Vergonza gestión no hay un solo aspecto de su política que se pueda evaluar como positiva.
Asquerosamente corrupto</t>
  </si>
  <si>
    <t>(NEG) corrupcion / irregularidades</t>
  </si>
  <si>
    <t>Vergonza gestión no hay un solo aspecto de su política que se pueda evaluar como positiva.</t>
  </si>
  <si>
    <t>Mejorar salud,educación vivienda generar empleo y buenos sueldos, políticas sociales para atender a los más necesitados</t>
  </si>
  <si>
    <t>Falta mucho aun</t>
  </si>
  <si>
    <t>Otra mirada</t>
  </si>
  <si>
    <t>Falta mucho por hacer el 6%+1 es lo mínimo.
Reforma seria con participación real de los docentes.</t>
  </si>
  <si>
    <t>Más recursos.
Autonomía y co gobierno</t>
  </si>
  <si>
    <t>Eugenia</t>
  </si>
  <si>
    <t>59897305293</t>
  </si>
  <si>
    <t>Porque hasta ahora es quien se ha comprometido</t>
  </si>
  <si>
    <t>compromiso y responsabilidad</t>
  </si>
  <si>
    <t>Porque no hizo nada para el país.</t>
  </si>
  <si>
    <t>Seguir trabajando en políticas sociales</t>
  </si>
  <si>
    <t>Alejandro Sánchez.</t>
  </si>
  <si>
    <t>Porqie nunca tuvimos y hay muchas mujeres en la política capacitadas para el puesto</t>
  </si>
  <si>
    <t>Muy positiva</t>
  </si>
  <si>
    <t>Edilicio</t>
  </si>
  <si>
    <t>Andrea Cúneo</t>
  </si>
  <si>
    <t>59894041864</t>
  </si>
  <si>
    <t>Escribana Pública</t>
  </si>
  <si>
    <t>Partido Colorado</t>
  </si>
  <si>
    <t>Porque no estoy informada de su gestion</t>
  </si>
  <si>
    <t>N03</t>
  </si>
  <si>
    <t>FALTA DE INFORMACION / OTRAS</t>
  </si>
  <si>
    <t>falta de informacion</t>
  </si>
  <si>
    <t>Me gusto su gestion, en especial el manejo de la pandemia</t>
  </si>
  <si>
    <t>Hay muchas areas en las que tomar medidas. No una sola. Creo que seguridad esta siendo una de las mas serias. Hace pocoentraron a un local en ciudad vieja y se dejo libre a la persona que facilito la maniobra aun con pruebas contundentes. Eso no puede pasar es una verguenza. Se que hace poco (me entere por aca) se presento el plan nacional de seguridad, pero tienen que ponerlo en practica y sobre todo tenemos que sentir sus efectos para que valga la pena</t>
  </si>
  <si>
    <t>Ni idea</t>
  </si>
  <si>
    <t>Depende de sus capacidades, no de su sexo o genero</t>
  </si>
  <si>
    <t>En mi caso particular que tengo un hijo con autismo voy a enfocar mis respuestas en la inclusion. Hay muchisimo que trabajar. Falta de preparacion docente, necesidad de personal de apoyo, falta de politicas de sensibilizacion a la poblacion estudiantil. Si bien no se puede prohibir a una persona asistir a clase por no tener acompañante o asistente terapeutico, en los hechos a mi se me hace imposible llevarlo si su acompañante no va porque falta apoyo y lo van a dejar corriendo por los pasillos. No es una guarderia, es una escuela, debe cumplir funcion de tal adaptandose a sus capacidades (y eso que mi hijo va a una escuela especial)</t>
  </si>
  <si>
    <t>inclusion_y_apoyos</t>
  </si>
  <si>
    <t>La inclusion y sensibilizacion y la preparacion docente</t>
  </si>
  <si>
    <t>Soledad Portugal</t>
  </si>
  <si>
    <t>59894054156</t>
  </si>
  <si>
    <t>Soy Productora de Eventos independiente</t>
  </si>
  <si>
    <t>Porque considero que ha tenido un desempeño correcto hasta el momento, con avances en algunos temas, aunque todavía hay aspectos por mejorar.</t>
  </si>
  <si>
    <t>Porque no estoy conforme con varias decisiones tomadas durante su gobierno ni con los resultados en áreas clave.</t>
  </si>
  <si>
    <t>Porque no estoy conforme con varias decisiones tomadas... ni con los resultados en áreas clave.</t>
  </si>
  <si>
    <t>Creo que debería priorizar medidas en seguridad y educación. En seguridad, reforzar la prevención, aumentar la presencia policial y trabajar en la rehabilitación. En educación, impulsar mejoras en la calidad, capacitación docente y actualización de contenidos.</t>
  </si>
  <si>
    <t>Aún no tengo un candidato/a definido, prefiero evaluar las propuestas más cerca de la elección.</t>
  </si>
  <si>
    <t>Aún no tengo un candidato/a definido, prefiero evaluar las propuestas...</t>
  </si>
  <si>
    <t>Depende de la mujer, al igual que depende del hombre, de las habilidades adquiridas, de lo capaz que sea y que nos sepa representar como país.</t>
  </si>
  <si>
    <t>Me genera una mezcla de orgullo y preocupación: orgullo por lo que históricamente ha sido, pero preocupación por la situación actual y los desafíos que enfrenta.</t>
  </si>
  <si>
    <t>Creo que se debería mejorar la calidad educativa, fortalecer la formación y el apoyo a los docentes, actualizar los programas de estudio y reducir las desigualdades entre estudiantes. También es clave incorporar más herramientas tecnológicas y trabajar en la retención de los alumnos.</t>
  </si>
  <si>
    <t>Lucía</t>
  </si>
  <si>
    <t>59898165681</t>
  </si>
  <si>
    <t>Maldonado</t>
  </si>
  <si>
    <t>Educadora</t>
  </si>
  <si>
    <t>Prefiero no decirlo</t>
  </si>
  <si>
    <t>Porque ha sido muy flojo hasta ahora</t>
  </si>
  <si>
    <t>Prefiero no responder</t>
  </si>
  <si>
    <t>Creo que deberían ser más firmes en sus decisiones y mostrarse mas</t>
  </si>
  <si>
    <t>Ninguno</t>
  </si>
  <si>
    <t>Porque sería un buen cambio de paradigma</t>
  </si>
  <si>
    <t>Creo que es bastante buena</t>
  </si>
  <si>
    <t>Creo que se deberían mejorar los contenidos</t>
  </si>
  <si>
    <t>Jésica godoy</t>
  </si>
  <si>
    <t>59891684861</t>
  </si>
  <si>
    <t>Artigas</t>
  </si>
  <si>
    <t>Aux de limpieza</t>
  </si>
  <si>
    <t>desinformadas</t>
  </si>
  <si>
    <t>Hizo mu has promesas para bien. Pero está cumpliendo con todo lo contrario.</t>
  </si>
  <si>
    <t>Ya paso si mandato. Y no dejo el pais como debia</t>
  </si>
  <si>
    <t>Tomar las riendas. Y actuar</t>
  </si>
  <si>
    <t>No ninguno 🤦🏽‍♀️</t>
  </si>
  <si>
    <t>Tiene otro punto de vista de las cosas. Es más cabeza.</t>
  </si>
  <si>
    <t>Se valora la educación. Está muy completa</t>
  </si>
  <si>
    <t>Estaría bueno q implementen otras cosas básicas para la vida. Como por ejemplo algo de economía en las escuelas</t>
  </si>
  <si>
    <t>Sandra Lara</t>
  </si>
  <si>
    <t>59899917416</t>
  </si>
  <si>
    <t>Ama de Casa</t>
  </si>
  <si>
    <t>Creo qué a pesar de encontrar el país con números mucho peores qué los qué decía el gobierno anterior, se está tratando de hacer lo prometido en campaña. A eso tenemos q sumar el contexto exterior, muchas veces los grandes capitales se retraen.
Recién hace 1 año, tengo mucha fe</t>
  </si>
  <si>
    <t>A05</t>
  </si>
  <si>
    <t>HERENCIA</t>
  </si>
  <si>
    <t>herencia negativa</t>
  </si>
  <si>
    <t>Gobernó cómo lo hace siempre la derecha, de espalda al pueblo</t>
  </si>
  <si>
    <t>Lo q está haciendo tomar medidas para mejorar la seguridad, buscar inversiones para q haya más empleo, de a poco, vamos a ir saliendo</t>
  </si>
  <si>
    <t>Lacalle Pou por el Partido Nacional, por el Frente Amplio creo q pueden ser Carolina Cosse y Alejandro Sanchez</t>
  </si>
  <si>
    <t>Lacalle Pou por el PN, por el FA creo q pueden ser Cosse y Sánchez</t>
  </si>
  <si>
    <t>Creo q sería bueno estar gobernado por la perspectiva femenina, aunque somos un país muy machista</t>
  </si>
  <si>
    <t>Yo soy hija de la educación pública, siempre tuvimos una muy buena educación, apoyo totalmente la educación pública</t>
  </si>
  <si>
    <t>Creo q siempre hay para mejorar, la adecuación de los programas a los tiempos actuales</t>
  </si>
  <si>
    <t>Rosana Levratto</t>
  </si>
  <si>
    <t>59898127459</t>
  </si>
  <si>
    <t>Apruebo el desempeño de Orsi porque mantiene un estilo de diálogo, cercanía con la gente y una conducción moderada que busca cambios sin generar inestabilidad.</t>
  </si>
  <si>
    <t>COMUNICACION / PROTAGONISMO</t>
  </si>
  <si>
    <t>cercania y dialogo</t>
  </si>
  <si>
    <t>Y el desempeño de Lacalle ?</t>
  </si>
  <si>
    <t>Para mejorar, Orsi debería acelerar resultados en seguridad, comunicar mejor sus objetivos y fortalecer las políticas económicas y de coordinación del gobierno.</t>
  </si>
  <si>
    <t>Estaría bueno que una mujer fuese candidata porque ampliaría la representación, aportaría nuevas miradas y fortalecería la igualdad de oportunidades en la política.</t>
  </si>
  <si>
    <t>La educación pública es esencial para la igualdad de oportunidades, pero debe fortalecerse con más recursos, apoyo docente y políticas que mejoren la calidad educativa.</t>
  </si>
  <si>
    <t>La educación debería mejorar en calidad educativa, apoyo a docentes, infraestructura, reducción del abandono estudiantil y una mayor conexión entre estudio y trabajo.</t>
  </si>
  <si>
    <t>Ricardo del Ducca Prestianni</t>
  </si>
  <si>
    <t>59892758558</t>
  </si>
  <si>
    <t>Foguista</t>
  </si>
  <si>
    <t>dialoguista</t>
  </si>
  <si>
    <t>No ha hecho nada que se pueda destacar. En ciertos momentos parece que improvisa.  que va haciendo en la marcha según surgen las cosas. En algunos aspectos parece sin un plan claro. Poniendo la excusa de siempre que encontraron el estado pero de lo que pensaban. No creo desaprobar porque lo que pasó hasta ahora no significa que no vaya a terminar bien. Con cambios significativos para el país. En el peor de los casos puede llegar a ser un gobierno sin nada que resaltar. Olvidable. Pero no sé si se puede, hasta ahora, decir que es un mal gobierno</t>
  </si>
  <si>
    <t>predominio negativo con reservas</t>
  </si>
  <si>
    <t>El gobierno anterior fue marcado por los hechos de corrupción, acomodo, situaciones turbias que aún no han quedado del todo claro. Además prometíeron que no iban a cambiar la edad de jubilación y lo hicieron cambiando la expectativa y el plan de vida de muchos uruguayos. Más aya de la necesidad de la reforma. Esa fue la traición mayor. Subieron impuestos y nafta que se supone no iban a subir. El manejo de la pandemia es el único punto destacable. Se encaró con seriedad. Aunque se habló de muertes evitables. En ocasiones. Notaba que los partidos se habían unido con el único propósito de ganarle al frente.</t>
  </si>
  <si>
    <t>(NEG) favoritismo / acomodos</t>
  </si>
  <si>
    <t>Marcado por hechos de corrupción... traición mayor (jubilación)... manejo de pandemia único destacable.</t>
  </si>
  <si>
    <t>Rever el tema jubilatorio. Procurar recursos para sostener un sistema que permita disfrutar de los últimos años de la vida. Buscar la forma de que no se afecte tanto en los bolsillos de la gente la situación bélica del mundo. Es difícil, Pero actualmente parece que lo solucionaron de la forma más fácil. Recargando en la ciudadanía. Los trabajadores y productores son los que sufren las consecuencias de la guerra.</t>
  </si>
  <si>
    <t>No.</t>
  </si>
  <si>
    <t>El gobierno es más que un presidente. Es un proyecto de país. La persona que ocupe el cargo de presidencia debe reunir ciertos requisitos de liderazgo y comunicación. Independiente de su género. No creo que se deba poner una persona en especial por su color de piel, sexo, o por qué cae bien o es amigo de.  Debe tener una clara vocación de servicio. Serio y equilibrado, cualidades que son independientes al genero</t>
  </si>
  <si>
    <t>Tiene sus defectos.  Pero creo que es aceptable. Hay ejemplos de todo tipo. Y experiencias variadas. Creo que ha mejorado con el uso de la computación. Se debería afinar la organización y eliminar burocracia.  A veces se repiten tramites como en el momento de las inscripciones y no están claros los cursos. La oferta educativa.</t>
  </si>
  <si>
    <t>La burocracia. La repetición de tramites como las inscripciones. Hacer más accesibles las inscripciones y la elección de cursos. Mejorar la asignación de horas.</t>
  </si>
  <si>
    <t>Miguel Alvez</t>
  </si>
  <si>
    <t>59899022680</t>
  </si>
  <si>
    <t>Primaria completa</t>
  </si>
  <si>
    <t>Jubilado</t>
  </si>
  <si>
    <t>Esta enderezando el país</t>
  </si>
  <si>
    <t>proceso de correccion</t>
  </si>
  <si>
    <t>No hizo nada para que se proyectará nuestro país</t>
  </si>
  <si>
    <t>Tema trabajo y economía</t>
  </si>
  <si>
    <t>Por ahora no veo a nadie en especial</t>
  </si>
  <si>
    <t>Cambiaría el rumbo de manejo del país</t>
  </si>
  <si>
    <t>Muy buena calidad es de primera</t>
  </si>
  <si>
    <t>No soy experto en el tema educación</t>
  </si>
  <si>
    <t>sin_cambios_o_ns_nr</t>
  </si>
  <si>
    <t>Angela Bek</t>
  </si>
  <si>
    <t>59894292481</t>
  </si>
  <si>
    <t>Vendedora</t>
  </si>
  <si>
    <t>Porque está realizando un exelente trabajo</t>
  </si>
  <si>
    <t>A03</t>
  </si>
  <si>
    <t>valoracion general positiva</t>
  </si>
  <si>
    <t>Porque no estoy de acuerdo con su gestión</t>
  </si>
  <si>
    <t>(NEG) valoracion general negativa</t>
  </si>
  <si>
    <t>Seguir con el plan que ya está en marcha</t>
  </si>
  <si>
    <t>Blanca Rodríguez</t>
  </si>
  <si>
    <t>Porque las mujeres somos muy capaces de hacer muchas cosas que a veces los hombres son tibios</t>
  </si>
  <si>
    <t>Es excelente la educación publica del pais</t>
  </si>
  <si>
    <t>Mejor salario para los docentes</t>
  </si>
  <si>
    <t>Rodrigo</t>
  </si>
  <si>
    <t>59898475534</t>
  </si>
  <si>
    <t>Técnico en telecomunicaciones</t>
  </si>
  <si>
    <t>Sube impuestos, está con el discurso del anterior gobierno haciéndose el canario para pasarla bien , además de no fomentar ideas resolutivas a problemas del pais</t>
  </si>
  <si>
    <t>GESTION AREAS ESPECIFICAS</t>
  </si>
  <si>
    <t>economia e ingresos</t>
  </si>
  <si>
    <t>Acomodo un pueblo e hizo cosas turbias</t>
  </si>
  <si>
    <t>Ir contra el narcotráfico con todo</t>
  </si>
  <si>
    <t>Ninguno x el fa nefastos, x el partido nacional lacalle</t>
  </si>
  <si>
    <t>Cosse presidente.</t>
  </si>
  <si>
    <t>Es deprimente, llegan al liceo y no saben hacer un esquema, lectura ni hablamos. En primaria y secundaria sin hacer nada pasan</t>
  </si>
  <si>
    <t>Más plata, hacer un reseteo de maestros y profesores que estudian xq es lo que hay pero no tienen la capacidad docente. Y poner gente acorde en los puestos de arriba ,no como el caggiani</t>
  </si>
  <si>
    <t>María</t>
  </si>
  <si>
    <t>59899123469</t>
  </si>
  <si>
    <t>Durazno</t>
  </si>
  <si>
    <t>Le cuesta mucho poner en práctica muchas de las propuestas que prometió cumplir.</t>
  </si>
  <si>
    <t>D03</t>
  </si>
  <si>
    <t>Hizo varias cosas, aunque también quedaron otras que no cumplió.</t>
  </si>
  <si>
    <t>(NEU) resultados parciales / mixtos</t>
  </si>
  <si>
    <t>Lo primero, poner mano firme en lo que es seguridad, ya que fue lo que tanto criticó del anterior gobierno.</t>
  </si>
  <si>
    <t>No veo algún candidato posible.</t>
  </si>
  <si>
    <t>Porque le va a ser difícil lograr cosas, en un ámbito, donde los hombres se creen superiores y no le aprobarán sus propuestas.</t>
  </si>
  <si>
    <t>Aunque está menos valorada, no hay mejor educación que la pública. Aunque tiene sus dificultades, mas cuando las familias creen que pueden hacer lo que les parece, dando un mal ejemplo a sus hijos, que lo reflejan en su comportamiento.</t>
  </si>
  <si>
    <t>Primero, " disciplinar" los padres, para que los hijos puedan tener un mejor relacionamiento con sus pares y el personal docente.</t>
  </si>
  <si>
    <t>disciplina_convivencia_familias</t>
  </si>
  <si>
    <t>Ana Paula</t>
  </si>
  <si>
    <t>59898788115</t>
  </si>
  <si>
    <t>Tacurembó</t>
  </si>
  <si>
    <t>Desempleo</t>
  </si>
  <si>
    <t>oposicion_cerril</t>
  </si>
  <si>
    <t>https://ss.wcx.cloud/a/fo3922/2026-04/5af89778da8b4b90bf35940603a51fa5.ogg</t>
  </si>
  <si>
    <t>respuesta no interpretable</t>
  </si>
  <si>
    <t xml:space="preserve"> Considero que junto con la presidencia de Valle, fueron uno de los mejores presidentes que nos ha tocado en el país, supo sostener al país en situaciones críticas, graves, pudimos salir adelante dejando saldo positivo, no solo en lo económico, sino en lo social, en todos los aspectos que involucra la sociedad, el país, internacionalmente dejó al país muy bien posicionado, la imagen que tuvo Uruguay durante esa presidencia a nivel internacional fue de las mejores que ha tenido el país, lástima que no se supo valorar y que todo eso que se construyó en menos de un año en el presidente actual lo ha arruinado a través de sus presentaciones en el exterior y también en el país.</t>
  </si>
  <si>
    <t>Uno de los mejores presidentes... supo sostener al país... imagen internacional...</t>
  </si>
  <si>
    <t>APP-EXT</t>
  </si>
  <si>
    <t xml:space="preserve"> El video de Nada, como ya dije en varias ocasiones, enseñarle a hablar al presidente, saber posicionarse ante la gente para poder hablar, cómo desenvolverse ante el público, que no se aprenda un discurso de memoria, que tenga locución creo que se le dice, que bueno, que empiece a tomar cartas del asunto en todas las variables y situaciones que afectan al país, y más que nada que mejore su imagen pública y que empiece a hacer y a cumplir lo que dijo en campaña.</t>
  </si>
  <si>
    <t xml:space="preserve"> Me gustaría que se volviera a tirar en la calle Pou por un hecho de que a mí me gusta su gobierno, me gustó su gobierno. Considero que se le podría dar una oportunidad a Andrés Ojeda, a Talby también del Partido de Colorado y de los blancos creo que no tienen un candidato como la gente que pueda limpiar la imagen. Porque de llegado no me gustó lo que hizo en campaña y a la vicepresidenta que propusieron tampoco me gustó. Entonces tendrían que, los blancos la tienen complicado, en mi aspecto.</t>
  </si>
  <si>
    <t>Me gustaría Lacalle Pou... Andrés Ojeda, Talvi... blancos no tienen candidato...</t>
  </si>
  <si>
    <t xml:space="preserve"> Considero que el tema del género o del sexo, como le quieren decir, de quién nos gobierne, no se afecta mientras la prioridad sea la población, el bienestar del país, sea hombre o mujer, para mí no tiene relevancia. Incluso puede ser una persona homosexual, o sea, me es indiferente porque no es lo que yo busco de la persona que nos gobierne, sino ser una persona capacitada, capaz de cumplir lo que diga, capaz de gobernar y hacer las cosas bien. Me es indiferente si es hombre o mujer quien nos represente. Me da igual. Sí, está lindo que considero que es lo que se está buscando, que siempre hace una figura hombre o mujer, pero me da igual, no es lo que yo busco de nuestro presidente.</t>
  </si>
  <si>
    <t xml:space="preserve"> La educación pública, miren, si yo no tengo hijos y no tengo mucho contacto con la educación pública actualmente no la considero que está mal en comparación con otros países si como que la barra está media baja, yo exigiría un poquito más y no se obriría que la buisada esté aprendiendo haría pruebas de conocimiento, actividades prácticas pero no creo que esté mal, hemos sabido mejorar y han sabido proponer planes de estudio</t>
  </si>
  <si>
    <t xml:space="preserve"> Tengo sobrinos yendo a la escuela y como dije recién no tengo contacto directo como para saber qué es lo que está fallando o sea no es que esté en la diaria que lo lleve y lo traiga a la escuela o que esté con ellos haciendo tareas como para darte una opinión clara, lo único que yo remarcaría es el tema de la exigencia asegurar que el niño está aprendiendo y no pasarlo porque hay un mérito que cumplir de aprobación que el niño se gane esa pasada de grado</t>
  </si>
  <si>
    <t>Denis Batista</t>
  </si>
  <si>
    <t>59891916227</t>
  </si>
  <si>
    <t>Trabajador en el sector privado</t>
  </si>
  <si>
    <t xml:space="preserve"> Bueno primero y principal porque uno cuando vota un candidato lo vota por sus campañas, por sus campañas políticas, por lo que prometen en sus campañas y creo que hasta ahora no ha resultado, no ha cumplido. Soy votante de sus partidos pero creo que no está haciendo un buen desempeño hasta ahora. Creo que debe mejorar y hay mucho mucho por cambiar.</t>
  </si>
  <si>
    <t xml:space="preserve"> y claramente también que por los mismos porque no se cumplen las promesas de campaña aparte de que hubieron muchas situaciones durante ese gobierno de la calle Pou que fueron muy turbias a nivel de políticos su partido la coalición aparte que está durante una pandemia creo que dentro de todo se manejó bastante bien esa parte pero hubo cosas que no gustaron para nada del anterior gobierno</t>
  </si>
  <si>
    <t>No se cumplen las promesas... situaciones turbias... pandemia se manejó bastante bien...</t>
  </si>
  <si>
    <t xml:space="preserve"> no sabría así, pero eso se tiene que encargar ellos para eso estudiar o descrear son los idóneos, por eso están ahí, uno le dio su voto de confianza tienen que ellos ver cómo salir adelante y cumplir lo prometido y que el país mejore hay que dejar la poliquería barata de salir y esos focos cruzados que hay entre el político creo que eso no sirve para nada</t>
  </si>
  <si>
    <t>No la verdad es que no!!</t>
  </si>
  <si>
    <t xml:space="preserve"> Y depende porque estando a la altura, creo que sea mujer, sea hombre, no creo que tenga que importar. No entiendo cuál es el prejuicio, pero bueno, la verdad que no me parece para nada mal. Siempre y cuando, a la altura, tengan las condiciones para estar al frente del país, no veo por qué no.</t>
  </si>
  <si>
    <t xml:space="preserve"> Indignación, la verdad sobre la escuela pública indignación, en lo que se ha compartido, en lo que era cuando uno, el chico iba a la escuela, lo que es ahora la verdad que es mucha indignación, parece que no le importara a los políticos el futuro del país, la verdad que no se entiende.</t>
  </si>
  <si>
    <t xml:space="preserve"> todo la verdad hay que hacer una reestructuración lo que es la escuadra pública lo que es la enseñanza la educación pública porque la verdad que estamos muy muy deterioradas las educación en otro país hace falta muchos cambios no sé por dónde habría que empezar pero hace falta un gran cambio porque así no puede seguir</t>
  </si>
  <si>
    <t>Mariana Tacain Masalles</t>
  </si>
  <si>
    <t>59892311032</t>
  </si>
  <si>
    <t>Paysandú</t>
  </si>
  <si>
    <t>Auxiliar administrativo</t>
  </si>
  <si>
    <t>Por muchos, actualmente el tarifazo y además no lo considero apruebo para nada en su gestión.</t>
  </si>
  <si>
    <t>En momentos terribles, mostró ser un grande y defender al país y a la gente</t>
  </si>
  <si>
    <t>Muchas!!! más ayuda a las mujeres de 45 a 62 años, solas con hijos en edad escolar y adolescentes, acceso a una vivienda digna y una pensión a Madres solas🙏</t>
  </si>
  <si>
    <t>No, no lo imagino</t>
  </si>
  <si>
    <t>Sin respuesta</t>
  </si>
  <si>
    <t>Es algo muy importante.para muchas áreas</t>
  </si>
  <si>
    <t>El control de salud sicológica de inspectores, directores y meastros</t>
  </si>
  <si>
    <t>Maria Elvira</t>
  </si>
  <si>
    <t>59892906369</t>
  </si>
  <si>
    <t>Todavía no ha aterrizado en su mandato . Muy tibio todo</t>
  </si>
  <si>
    <t>Tuvo que enfrentar una pandemia , y supo cuidar a la población , implementsndo diversas medidas</t>
  </si>
  <si>
    <t>Tuvo que enfrentar una pandemia , y supo cuidar a la población</t>
  </si>
  <si>
    <t>Está difícil a nivel mundial , todo , o sea se ve difícil</t>
  </si>
  <si>
    <t>Carolina Cosse , no</t>
  </si>
  <si>
    <t>Está en crisis , no hay apoyo para los educadores de las flias de los educando</t>
  </si>
  <si>
    <t>Las familias</t>
  </si>
  <si>
    <t>Lorena Maidana</t>
  </si>
  <si>
    <t>59892978275</t>
  </si>
  <si>
    <t>Soy mucama</t>
  </si>
  <si>
    <t>Porque cosas que están haciendo que se está viendo mal su imagen no lo está favoreciendo</t>
  </si>
  <si>
    <t>mala imagen publica</t>
  </si>
  <si>
    <t>Porque lo único que hizo fue favorecer la cosas corruptas</t>
  </si>
  <si>
    <t>La primera es que si sale hacer presencia diplomática no haga papelones</t>
  </si>
  <si>
    <t>No ninguna</t>
  </si>
  <si>
    <t>Porque las candidatas presentadas como vice siempre terminan matando al Presidente no hay una imagen fuerte además nuestra cultura no está pronta para ese cambio las cabezas todavía les falta abrir</t>
  </si>
  <si>
    <t>Esta hecha un desastre con la, súper reforma no se enseña nada de nada no aprenden nada los gurises, no saben lo que  es estudiar realmente</t>
  </si>
  <si>
    <t>Darle más herramientas para que no sean ignorantes, mi hija asiste a secundaria el año pasado en historia no le enseñaron ni la mitad que le enseñaron a mi hijo años atrás y en todas las materias igual</t>
  </si>
  <si>
    <t>Valry</t>
  </si>
  <si>
    <t>59896947393</t>
  </si>
  <si>
    <t>Desempleada</t>
  </si>
  <si>
    <t>Es un presidente que no elegí y que no me parece esté actuando cómo tal</t>
  </si>
  <si>
    <t>POSICIONAMIENTO POLITICO</t>
  </si>
  <si>
    <t>distancia ideologica</t>
  </si>
  <si>
    <t>Obviamente a el si lo elegí y quedé conforme</t>
  </si>
  <si>
    <t>(POS) valoracion general positiva</t>
  </si>
  <si>
    <t>Que gestione fuentes de trabajo, sobretodo que si viene una empresa o hay una obra grande que la mano de obra sea uruguaya no que traigan su personal de otros países</t>
  </si>
  <si>
    <t>Lacalle Pou nuevamente</t>
  </si>
  <si>
    <t>Porque tiene el mismo derecho, lo importante es que esté a la altura</t>
  </si>
  <si>
    <t>Creo que está floja en algunos puntos cómo por ej seguridad, estaría bueno que sea más accesible un psicólogo por ej</t>
  </si>
  <si>
    <t>Que no le den tanta importancia al uniforme si no que los chicos asistan a clases y sobretodo aprendan, hoy en día la educación no sale de casa si no que entra en un 70% por el wifi y la escuela sólo es un apoyo pero no menos importante</t>
  </si>
  <si>
    <t>Mirian Sirley Falero</t>
  </si>
  <si>
    <t>59892767751</t>
  </si>
  <si>
    <t>Soriano</t>
  </si>
  <si>
    <t>Desocupada</t>
  </si>
  <si>
    <t>No tenemos un Gobierno sino un desgobierno. Estamos peor en Seguridad en Educación en Salud y ni que hablar las empresas que Cerraron  más gente Desocupada</t>
  </si>
  <si>
    <t>seguridad y delito</t>
  </si>
  <si>
    <t>Aunque tuvo la pandemia y muchas cosas mejoraron hubo muchas promesas incumplidas</t>
  </si>
  <si>
    <t>Reforma de la Construcción leyes que ya no sirven . quitar el MIDES dejar el asistencialismo todos deben aportar al País . Aplicación de ley de Mendicidad y vagancia y sobretodo guerra al narcotráfico union con EEUU en la alianza Americana</t>
  </si>
  <si>
    <t>Creo que Luis Lacalle. Pedro Bordaberry  y en el frente sera  Díaz o Sánchez</t>
  </si>
  <si>
    <t>Creo que Luis Lacalle. Pedro Bordaberry y en el frente sera Díaz o Sánchez</t>
  </si>
  <si>
    <t>Creo que no tenemos mujeres con carácter en la política</t>
  </si>
  <si>
    <t>La educación a decaído  hoy no saben nada en ninguna rama</t>
  </si>
  <si>
    <t>Volver a la educación de hace 30 años</t>
  </si>
  <si>
    <t>María Rosa Pons</t>
  </si>
  <si>
    <t>59898818861</t>
  </si>
  <si>
    <t>Porque no tiene rumbo</t>
  </si>
  <si>
    <t>D04</t>
  </si>
  <si>
    <t>D05</t>
  </si>
  <si>
    <t>falta de rumbo</t>
  </si>
  <si>
    <t xml:space="preserve"> El gobierno de la calle Pau le tocó muchas cosas malas, pandemia, sequía y otras más. En definitiva creo que tuvo buen desempeño, tuvo buen apoyo del equipo. Conforme pudo hacer más, sí, pero con todos los problemas hizo bastante.</t>
  </si>
  <si>
    <t>Le tocó muchas cosas malas... pandemia, sequía... En definitiva creo que tuvo buen desempeño</t>
  </si>
  <si>
    <t xml:space="preserve"> Yo para mí, el ministro de trabajo tendría que cambiarlo, el ministro de interior tendría que cambiarlo. Te dejo la renuncia porque el ministro del interior nos contó un proyecto que no es más de lo mismo. Y nada, por lo único que estoy diciendo es por el ministro de Economía que lo veo bastante correcto.</t>
  </si>
  <si>
    <t xml:space="preserve"> Por el partido colorado, el Pedro Borraveri, por los blancos, la Calle Pau. Sinceramente, a Blanca no la veo, no la veo, como dicen algunos que sí, Blanca Rodríguez, y no la veo candidata, no, no, no. Y la única que quedaría sería Carolina Coce. Por eso tres partidos. Después hay partidos chicos, que muchos de los desencantados como yo, que vamos a terminar apoyando. La Libertad avanza, hay otros partidos chicos que están ya haciendo ruido.</t>
  </si>
  <si>
    <t>Bordaberry, Lacalle Pou. Blanca no la veo... Carolina Cosse. Libertad avanza...</t>
  </si>
  <si>
    <t xml:space="preserve"> porque las mujeres somos capaces pero no veo una preparada a nacer Carolina Coze después no a pesar de que no sea de mi partido es una persona que es muy capaz después no veo otra, no me surge otro nombre por ahora no, simplemente Blanca la veo muy soberbia y nada, Valeria Ripple no me gusta nadie más, no veo otro nombre</t>
  </si>
  <si>
    <t xml:space="preserve"> Sinceramente muy pobre, muy pobre. Yo sé que la educación empieza por nuestra casa, por nuestro hogar, pero se ha perdido, se ha perdido el núcleo familiar, ya no es el mismo de antes, se está perdiendo cada día más. Ya dentro de una casa son todos individuales y por lo tanto en la educación, para mí se hace lo que se puede pero si no se empieza por casa. Ya tenemos una generación de 20 años, 30 años que están con esa ideología y ya creo que no la podemos cambiar.</t>
  </si>
  <si>
    <t xml:space="preserve"> se perdió el respeto a las fechas patrias, se perdió el respeto a nuestra amonia, a nuestra túnica, a nuestro uniforme tener celular dentro del aula para mí fue la perdición fue la perdición de nuestros niños y hoy tenemos chicos de 11 12 años que están sin compresión lectora y sin saber las tablas, sin saber sumar todo con la calculadora del teléfono y eso no para mí no, eso para mí se tendría que cambiar</t>
  </si>
  <si>
    <t>Ana Laura</t>
  </si>
  <si>
    <t>59899303485</t>
  </si>
  <si>
    <t xml:space="preserve"> recién ahora se ve un poco más activo, más planes, más proyectos se lo escucha más al principio de los primeros meses fueron por parece una cosa medio planchada y estaba</t>
  </si>
  <si>
    <t>mejora reciente del ritmo</t>
  </si>
  <si>
    <t>Creo que le tocaron unos años complicados de pandemia y lograron sacarla adelante muy bien .
Por supuesto que hay muchísimas cosas para mejorar</t>
  </si>
  <si>
    <t>Tocaron años complicados de pandemia y lograron sacarla adelante... cosas para mejorar</t>
  </si>
  <si>
    <t>Urgente trabajar y solucionar el tema de la gente en la calle en todas las cuadras hay personas durmiendo</t>
  </si>
  <si>
    <t>La verdad no tengo idea quienes van a ser los candidatos</t>
  </si>
  <si>
    <t>Sería bueno tener la visión de una mujer</t>
  </si>
  <si>
    <t>Tuve la oportunidad de conocer más de cerca la educación pública el año pasado me sorprendió gratamente, creo que lo que complica es la educación que le dan las familias a los niños</t>
  </si>
  <si>
    <t>Por lo que he escuchado hay muchas escuelas sin maestros y hay muchos maestros que no se le asignan hs</t>
  </si>
  <si>
    <t>Laura</t>
  </si>
  <si>
    <t>59898540831</t>
  </si>
  <si>
    <t>Lavalleja</t>
  </si>
  <si>
    <t>Maestra</t>
  </si>
  <si>
    <t>Estoy conforme</t>
  </si>
  <si>
    <t>El país retrocedió en materia de derechos humanos</t>
  </si>
  <si>
    <t xml:space="preserve"> medidas integrales para paliar la situación social.</t>
  </si>
  <si>
    <t>Es necesario un cambio de mirada</t>
  </si>
  <si>
    <t>Faltan recursos</t>
  </si>
  <si>
    <t>Grupos de no más de 15</t>
  </si>
  <si>
    <t>Doris</t>
  </si>
  <si>
    <t>59892909395</t>
  </si>
  <si>
    <t>Independiente</t>
  </si>
  <si>
    <t>Porque nos mintió a todos los Uruguayos al hacer promesas que desde el inicio no pensaba cumplir, a preferido " pasear " a ser presidente</t>
  </si>
  <si>
    <t>Cumplió con creces su deber de presidente y nos cuido en nuestro peor momento, en la pandemia, creo un puente entre los Uruguayos , no alimento el odio entre nos</t>
  </si>
  <si>
    <t>Cumplió con creces su deber... nos cuido en nuestro peor momento, en la pandemia</t>
  </si>
  <si>
    <t>Primero cuidar al empresario desde el más humilde, bajar impuestos o directamente sacarlos, la inseguridad atacarla desde sus raíces, gobernar para todos y no para unos pocos integrantes del propio gobierno, impedir que empresas sigan migrando....</t>
  </si>
  <si>
    <t>Luis Lacalle Pou,</t>
  </si>
  <si>
    <t>Podría cambiar la visión, una mujer sin lastre para gobernar sabiamente, tendría que mostrarse desde ya para saber si llega a la altura de una candidata, las hasta ahora mujeres conocidas , principalmente en el gobierno, no dan la talla....</t>
  </si>
  <si>
    <t>La educación está en decadencia, en vez de darles conocimientos parece que está abogada a firmar ignorantes...</t>
  </si>
  <si>
    <t>Los planes tendrían que reverse y volver a los de hace años, nos formaron en conocimientos, hoy en pleno desconocimiento</t>
  </si>
  <si>
    <t>Nicolás Rodríguez</t>
  </si>
  <si>
    <t>59898521539</t>
  </si>
  <si>
    <t>Florida</t>
  </si>
  <si>
    <t>Desempleado</t>
  </si>
  <si>
    <t>Porque es un gobierno coherente</t>
  </si>
  <si>
    <t>buena imagen publica</t>
  </si>
  <si>
    <t>Fue un mamarracho de gobierno</t>
  </si>
  <si>
    <t>Engfocarce en trabajo y seguridad</t>
  </si>
  <si>
    <t>No, por ahora no</t>
  </si>
  <si>
    <t>Un cambio</t>
  </si>
  <si>
    <t>Me parece bien</t>
  </si>
  <si>
    <t>En general, replantear nuevamente la educación</t>
  </si>
  <si>
    <t>Emilia Hernández</t>
  </si>
  <si>
    <t>59899014799</t>
  </si>
  <si>
    <t>Docencia</t>
  </si>
  <si>
    <t>Me ha decepcionado en algunas cuestiones. A nivel discursivo, por ejemplo, ha mejorado algo pero aún falta afianzar su liderazgo. Fue moderado en temas que, para mí, era necesario encarar de otra forma.</t>
  </si>
  <si>
    <t>Considero que su gobierno estuvo manchado por sucesos turbios, sospechosos... Marset, Cardama, Astesiano...</t>
  </si>
  <si>
    <t>Considero que su gobierno estuvo manchado por sucesos turbios... Marset, Cardama, Astesiano...</t>
  </si>
  <si>
    <t>Fomentar el empleo, trabajar en la seguridad ciudadana y personas en situación de calle, mejorar el sistema carcelario... Entre otros</t>
  </si>
  <si>
    <t>Por el FA, Sánchez. Por el PN, Lacalle Pou. Por el PC, Ojeda.</t>
  </si>
  <si>
    <t>Sería un buen paso para dar. Nunca tuvimos la experiencia. Y las mujeres pueden aportar otra visión. Además, es una cuestión simbólica.</t>
  </si>
  <si>
    <t>Trabajo como docente en el ámbito público, y es una de las cuestiones por las que estoy decepcionada. Cada gobierno simplemente cambia los nombres a las cosas; no veo cambios reales. En las instituciones se deben hacer rifas para cubrir gastos básicos. Para la copa de leche, la dirección debe salir a buscar donaciones a empresas. Además, en un centro en el que trabajo dijeron desde arriba que no hay presupuesto para la educación terciaria en UTU pero luego se llenan la boca con la formación...</t>
  </si>
  <si>
    <t>Más presupuesto, ayudaría mucho. Se deben hacer rifas para cubrir gastos básicos. En una escuela en la que trabajo, se da una partida de 10 mil pesos que apenas alcanza para cubrir la emergencia médica.</t>
  </si>
  <si>
    <t>Gustavo olaran</t>
  </si>
  <si>
    <t>59894414519</t>
  </si>
  <si>
    <t>Carpinteria</t>
  </si>
  <si>
    <t>No voté</t>
  </si>
  <si>
    <t>descreidas/alejadas</t>
  </si>
  <si>
    <t xml:space="preserve"> La delincuencia sigue en aumento, los homicidios ni hablar, la mover en todo el país por él no apretar a la intendencia o a las intendencias porque el presupuesto nacional también ayuda a las intendencias, es culpa de él. Además de eso el trabajo es un desastre, ha subido todo lo que dijo que no iba a subir desde los combustibles hasta la luz, los impuestos, el VPS, etcétera, y además de eso todavía se da el lujo de decir que tienen un plan de seguridad inexistente, un desastre completo, lamentable, lamentable, es un payaso.</t>
  </si>
  <si>
    <t xml:space="preserve"> Por los mismos motivos, mintió en campaña, la delincuencia creció, crecieron los homicidios, creció el desempleo, creció la gente en la calle, tampoco hizo nada y se fue con los bolsillos llenos y nada más. O sea, de aquellos lodos estos barros.</t>
  </si>
  <si>
    <t>Mintió en campaña, delincuencia creció, homicidios, desempleo... se fue con los bolsillos llenos.</t>
  </si>
  <si>
    <t xml:space="preserve"> Crear cárceles de máxima seguridad para delincuentes peligrosos, separando a la gente primaria del resto, porque la cárcel es una escuela de delincuencia. Segundo, sacar toda la gente de la calle. No puede ser, hay una ley de faltas que hay que cumplir. Crear colonias de trabajo para menores infractores y para mayores infractores que cometan la falta de vagancia y vayan directo a una colonia y se dejen de joder con derechos humanos. El derecho humano es techo, trabajo y dignidad. Ese es el mejor derecho humano. Los demás son accesorios.</t>
  </si>
  <si>
    <t xml:space="preserve"> Por el momento es allí. No veo otro.</t>
  </si>
  <si>
    <t>Por el momento es allí. No veo otro.</t>
  </si>
  <si>
    <t xml:space="preserve"> porque poner en que sea mujer o que sea hombre la bondad o no bondad de una presidencia es bastante estúpido tiene que ser un buen presidente sea mujer o hombre o canguro tiene que ser un buen presidente nada más no tiene por qué ser una mujer ni un ella ni un nada tiene que ser un buen presidente sea lo que sea</t>
  </si>
  <si>
    <t xml:space="preserve"> Del ensable, cada vez peor, no corrigen las faltas, saben menos. Yo en tercer año de escuela sabía lo mismo que saben los de sexto ahora. Comprobado, porque tengo cinco hijos.</t>
  </si>
  <si>
    <t xml:space="preserve"> La preparación de los docentes y el programa, por supuesto. Yo tengo una hija que es docente y es una unidad completa.</t>
  </si>
  <si>
    <t>Irahí</t>
  </si>
  <si>
    <t>59897154628</t>
  </si>
  <si>
    <t>Busco trabajo</t>
  </si>
  <si>
    <t>No estaba informada</t>
  </si>
  <si>
    <t>No preste atencion</t>
  </si>
  <si>
    <t>No tengo idea</t>
  </si>
  <si>
    <t>Porque no estoy informads</t>
  </si>
  <si>
    <t>No opino</t>
  </si>
  <si>
    <t>ns_nr_sin_contacto</t>
  </si>
  <si>
    <t>la mayoria no se maneja bien</t>
  </si>
  <si>
    <t>Adriana</t>
  </si>
  <si>
    <t>59892235405</t>
  </si>
  <si>
    <t>Empleada Doméstica y Acompañante Terapéutico</t>
  </si>
  <si>
    <t>Creo que falta propuestas que no ha cumplido</t>
  </si>
  <si>
    <t>Me encanta ese presidente</t>
  </si>
  <si>
    <t>Más trabajo, más control en la seguridad y avanzar en salud pública</t>
  </si>
  <si>
    <t>El Partido Nacional</t>
  </si>
  <si>
    <t>Laura Raffo....su visión me gustaría</t>
  </si>
  <si>
    <t>Falta maestros y arreglar varios centros escolares</t>
  </si>
  <si>
    <t>Más educación... escritura</t>
  </si>
  <si>
    <t>Maria del Lujan</t>
  </si>
  <si>
    <t>59899367292</t>
  </si>
  <si>
    <t>No me gusta como trabaja creo que no a echo mucho por el país</t>
  </si>
  <si>
    <t>inaccion</t>
  </si>
  <si>
    <t>Pienso que hizo mucho a pesar q tuvimos 2 años de pandemia</t>
  </si>
  <si>
    <t>Seguridad salud trabajo</t>
  </si>
  <si>
    <t>Luis lacalle</t>
  </si>
  <si>
    <t>Porque no hay mujeres para ese puesto y las q hay no me gustan</t>
  </si>
  <si>
    <t>Que está muy descuidada</t>
  </si>
  <si>
    <t>Mejorar la educación</t>
  </si>
  <si>
    <t>Ana Laura Caballero Gregorio</t>
  </si>
  <si>
    <t>59898426249</t>
  </si>
  <si>
    <t>Porque pienso que no ha cumplido con lo que prometió. Pero o espero que cumpla en algo por lo menos</t>
  </si>
  <si>
    <t>Porque prometió mucho y para mí no cumplió. Al país lo dejó con mucho defici</t>
  </si>
  <si>
    <t>Tendría que pensar más soluciones para el país y no dejar entrar más empresas extranjeras que no aportan nada bueno, nos re contaminan y se llevan toda la plata. Buscar soluciones para la desocupación dar oportunidades a los más vulnerable que quieren salir adelante, enfócate en la salud, en la seguridad, en el narcotráfico y la educación. Que en estos últimos años ha decaído muchísimo</t>
  </si>
  <si>
    <t>No, ya no creo en ningún político. Pienso que la avaricia les gana</t>
  </si>
  <si>
    <t>Puede ser que las mujeres sean más sensibles y tomen más en serio esa responsabilidad</t>
  </si>
  <si>
    <t>Me parece que ha cambiado mucho la educación. Falta más exigencia y buenos planes.</t>
  </si>
  <si>
    <t>El plan de ahora que los niños aunque no Aprendan tienen que pasar de grado. Hay niños que llegan a 5 o 6 años y no saben leer</t>
  </si>
  <si>
    <t>Analoy</t>
  </si>
  <si>
    <t>59897222701</t>
  </si>
  <si>
    <t>Primaria incompleta</t>
  </si>
  <si>
    <t>X q  no a echo casi nada</t>
  </si>
  <si>
    <t>X q ese si q no ISO nada solo comprar chatarra</t>
  </si>
  <si>
    <t xml:space="preserve"> y la medida que tendría que tomar el gobierno es reducir los sueldos de los grandes que hay una cantidad de gente en el gobierno y en todos los departamentos al pedo cobrando tremendo sueldo</t>
  </si>
  <si>
    <t>No no me imagino x q no hay nadie como la gente</t>
  </si>
  <si>
    <t xml:space="preserve"> Porque sí, porque siempre acá en Uruguay siempre el presidente hombre. Habría que cambiar un poco también. Haría falta una presidenta mujer.</t>
  </si>
  <si>
    <t xml:space="preserve"> y la verdad que yo veo que en el google no saben nada, mucha tecnología no sé creo que en la escuela no aprenden nada</t>
  </si>
  <si>
    <t>pierina techera</t>
  </si>
  <si>
    <t>59898734898</t>
  </si>
  <si>
    <t>trabajo y estudio</t>
  </si>
  <si>
    <t>porque no siento que haya hecho nada importante para el pueblo a nivel de cambios</t>
  </si>
  <si>
    <t>por momentos fue positivo y negativo también</t>
  </si>
  <si>
    <t>no lo sé</t>
  </si>
  <si>
    <t>no</t>
  </si>
  <si>
    <t>siento que estaría bueno un cambio de pensamiento, de forma de ver las cosas</t>
  </si>
  <si>
    <t xml:space="preserve"> Siento que la educación del muchachilato tiene cosas que mejorar, pero por otro lado la educación de nivel terciario en la universidad es muy buena.</t>
  </si>
  <si>
    <t>Álvaro Lois</t>
  </si>
  <si>
    <t>59893884562</t>
  </si>
  <si>
    <t>Empresario</t>
  </si>
  <si>
    <t>No a colmado mis espectativas, es un gobierno de centro, policlasista y no se muestra ni antimperialista, ni anti oligarquico.</t>
  </si>
  <si>
    <t>D08</t>
  </si>
  <si>
    <t xml:space="preserve"> Y no representa los intereses de mi clase social, ese es el tema fundamental. Yo soy un trabajador y como tal tengo una misión objetiva que me marca la historia y bueno, razón por la cual no veo ni vi que en algún momento me representase. Ese es el motivo.</t>
  </si>
  <si>
    <t>No representa los intereses de mi clase social. Yo soy un trabajador...</t>
  </si>
  <si>
    <t>Incentivar el empleo digno y de calidad.</t>
  </si>
  <si>
    <t>Si, Lacalle Pou y Carolina Cosse van a protagonizar la campaña para las próximas elecciones</t>
  </si>
  <si>
    <t>Si, Lacalle Pou y Carolina Cosse van a protagonizar la campaña</t>
  </si>
  <si>
    <t>Porque la capacidad de algunas mujeres eventualmente postulantes, es mayor de la de todos los hombres posibles.</t>
  </si>
  <si>
    <t>Es la única forma de educación democrática poible</t>
  </si>
  <si>
    <t>Mayor presupuesto para mayor calidad</t>
  </si>
  <si>
    <t>Viviana Bon</t>
  </si>
  <si>
    <t>59893319685</t>
  </si>
  <si>
    <t>Trabajo</t>
  </si>
  <si>
    <t>Porque a echo bastante cosas y se a ocupado bastante</t>
  </si>
  <si>
    <t>Un desastre de 10 cosas asia una y ni siquiera daba explicaciones</t>
  </si>
  <si>
    <t>DES-LID</t>
  </si>
  <si>
    <t>Seguir trabajando en seguridad</t>
  </si>
  <si>
    <t>No de momento no se me ocurre a nadie</t>
  </si>
  <si>
    <t>Sería darle un giro xq en otros países an ávido presidentas mujer y lo. An echo muy bien</t>
  </si>
  <si>
    <t>Es buena pero tendría q ajustarse algunas cosas</t>
  </si>
  <si>
    <t>Q las maestras puedan suspender a los niños si hacen algo muy grave o simplemente aplicar alguna medida</t>
  </si>
  <si>
    <t>Karherine</t>
  </si>
  <si>
    <t>59892658643</t>
  </si>
  <si>
    <t>Actualmente estoy desempleada y estoy cursando 3 materias para completar rl bachillerato.</t>
  </si>
  <si>
    <t>Porque creo que esta haciendo lo que puede para mejorar políticas sociales</t>
  </si>
  <si>
    <t>bienestar social</t>
  </si>
  <si>
    <t>Porque pienso que que es un gobierno que gobierna mas para las personas de clase alta, que las de clase media y baja social.
Me parece que no le interesa colaborar o crear políticas sociales y igualitarias para  los pobres</t>
  </si>
  <si>
    <t>Gobierna mas para las personas de clase alta... no le interesa crear políticas sociales</t>
  </si>
  <si>
    <t>Creo que la situación de nuestro Uruguay es muy compleja y debería mejorar en todas las situaciones.
Haciendo referencia a la situación de la seguridad que vivimos actualmente y nos domina la violencia.
Me parece que debería tomar medidas de educación  y sobre todo a las familias si es necesario ( menor infractor). Y cuando no sea necesario porque hablamos de una persona adulta, debería hacer incapie a la causa, el porque, etc... . Y desde allí la sanción que corresponda  y si es necesario subir las penas.
Además de crear oportunidades para todos/as</t>
  </si>
  <si>
    <t>No lo sé todavía</t>
  </si>
  <si>
    <t>Porque no la votaría solo por ser mujer.
Tendría que estar de acuerdo con su proyecto de cara a su periodo de gobierno y ahí la votaría 
Creo que no depende del género sino de lo que quiera ser.</t>
  </si>
  <si>
    <t>Me parece que es genial, pero debería cambiar los temas, la forma de educar y el modelo de educación que tenemos hace más de 100 años. Hay que tener en cuanta que las épocas cambian y hay que ir adaptándose.</t>
  </si>
  <si>
    <t>Creo que hay tiene que ser más practico que teórico.
Y cambiar el modelo de educación que tenemos actualmente . Creo que debería cambiar en varios aspectos. 
1- Manera de enseñar.
2-Tema que abordan respecto a las materias que el sistema cree,que te tienen que enseñar.
3- La materia informática obligatoria para toda la educacion pública, una gran herramienta que vino a quedarse.
4-Evaluaciones. Que sean durante todo el año y no te defina una prueba o un parcial en un día solo y con poco tiempo.
5- El trabajo en equipo colectivo.
6- Materia de economía obligatoria.
7- Etc.......</t>
  </si>
  <si>
    <t>Juan Pablo lacuesta</t>
  </si>
  <si>
    <t>59892655448</t>
  </si>
  <si>
    <t>Cajero en local gastronomico</t>
  </si>
  <si>
    <t>Porque no ha sido influyente ni para bien ni para mal</t>
  </si>
  <si>
    <t>Más allá de mis preferencias políticas, lo apruebo porque le toco bailar con la pandemia y lo hizo de manera excelente y luego de ella se apostó en adquirir inversiones de todo tipo , q al ciudadano común es lo q le sirve q se abran puestos de ttabajo y a su vez fuimos muy bien mirados en el exterior y nos abrió muchas puertas en negocios y acuerdos internacionales cosa que con este gobierno de orsi no es así, no nos toman en cuenta para nada</t>
  </si>
  <si>
    <t>Le toco bailar con la pandemia y lo hizo de manera excelente... inversiones... puestos de trabajo</t>
  </si>
  <si>
    <t>APP-IND</t>
  </si>
  <si>
    <t>Dejar de lado ideologías políticas y hacer relaciones diplomáticas con países q contribuyan a mejorar la economía del país , si hay buena economía el resto se arregla solo</t>
  </si>
  <si>
    <t>Lacalle pou</t>
  </si>
  <si>
    <t>Porque lo importante no es el sexo del presidente sino q quien lo sea este apto para el puesto no por ser popular o hijo de , sino alguien q sea competente en materias como economía , seguridad , educación , y sobre todo que tenga la valentía de tomar determinaciones personales y no lo q dicte una postura partidaria o ideológica</t>
  </si>
  <si>
    <t>Lamentable</t>
  </si>
  <si>
    <t>Todo , deberían tomar modelos de colegios privados e implementarlos en la educación pública , el estado debería aportar mucho más dinero a la educación pública, ya que en unos años esos niños van a ser el futuro del país , si no se invierte en formarlos va a ser un futuro más q predecible y malo</t>
  </si>
  <si>
    <t>Marisol peña</t>
  </si>
  <si>
    <t>59892046958</t>
  </si>
  <si>
    <t>Estoy desempleada</t>
  </si>
  <si>
    <t>Porque acá interior no robado orrible acidente por transito orrible y droga ni se sabe acá no medidas todavía</t>
  </si>
  <si>
    <t>Porque podíamos salir a calle y tener un almacén no roban como hora y drogado cerraban boca hora le dice que está ahí eyo ban buscar cotravandista pero droga no agarro cantidad gota gota hora estamos imbadido con esto tacurembo y hora hay más que antes</t>
  </si>
  <si>
    <t>(POS) cumplimiento</t>
  </si>
  <si>
    <t>Porque podíamos salir a calle (seguridad)... ahora estamos imbadido con esto</t>
  </si>
  <si>
    <t>APP-IND (Seguridad percibida)</t>
  </si>
  <si>
    <t>De todo porque acá ya no sabemos que hacer con esto es verguensas</t>
  </si>
  <si>
    <t>Si se tira calle Pou lo votare</t>
  </si>
  <si>
    <t>Si hay mujer que caiga mi espetativa la boto</t>
  </si>
  <si>
    <t>Orrible acá maestro no viene no avisan está pasando en la escuela y liceo también es vergüenza y se nietos escuela liceo</t>
  </si>
  <si>
    <t>Profesores sea más impatico y escuela haiga gente preñada tratar niños con Atea y dan tengo nieto y me dicriman porque el no rimo clase</t>
  </si>
  <si>
    <t>Gianina Cataldo</t>
  </si>
  <si>
    <t>59898710653</t>
  </si>
  <si>
    <t>Comerciante</t>
  </si>
  <si>
    <t>Por qué no han hecho nada nuevo, ni bueno de todo lo que han prometido</t>
  </si>
  <si>
    <t>Creo que supo llevar la pandemia, la sequía y todas las demás adversidades que se le presentaron de una manera muy buena.</t>
  </si>
  <si>
    <t>Supo llevar la pandemia, la sequía y todas las demás adversidades</t>
  </si>
  <si>
    <t>Cambiar la ley 19,580
Hacer cumplen en la ley rápido y efectivamente
No dar más planes de ayuda y dar trabajo
Hacer más viviendas para que la gente las trabaje y las pague
Nada gratis, que la gente se gane todo como todo el mundo</t>
  </si>
  <si>
    <t>Las mujeres pueden gobernar igual o mejor que hombres. Que gobierno una persona viene o mal no significa que tenga algo que ver el género. Que sea centrada que piense las cosas que acepten, las opiniones, de los demás, etc.</t>
  </si>
  <si>
    <t>Es muy buena. Al menos en el interior. Lástima que los docentes son tan comunistas que perjudican a los alumnos. Reclamando cosas insensatas.  Cosas que cuando se reciben aceptan.</t>
  </si>
  <si>
    <t>Que los docentes tengan vocación y compromiso. Cuaod tr recibís ya sabes lo que hay. Tienen buenas condiciones y buenos sueldos. Pero el ser humano siempre quiere más.</t>
  </si>
  <si>
    <t>Emily Muape</t>
  </si>
  <si>
    <t>59899494851</t>
  </si>
  <si>
    <t>Salto</t>
  </si>
  <si>
    <t>Educadora preescolar</t>
  </si>
  <si>
    <t>No apruebo ni desapruebo porque todavía es temprano y no se ven resultados claros. Hay algunas cosas positivas, pero también problemas importantes que siguen igual.</t>
  </si>
  <si>
    <t>ETAPA INICIAL DE GOBIERNO</t>
  </si>
  <si>
    <t>es temprano para evaluar</t>
  </si>
  <si>
    <t>Lo apruebo porque en general me pareció que tuvo una buena gestión, con algunas decisiones acertadas y cierta estabilidad en momentos difíciles, aunque no todo fue perfecto.</t>
  </si>
  <si>
    <t>Buena gestión, con algunas decisiones acertadas y cierta estabilidad... no todo fue perfecto.</t>
  </si>
  <si>
    <t>Pienso que lo principal es enfocarse más en mejorar la seguridad, generar empleo y ayudar con el costo de vida. También sería importante que las medidas se vean más en lo concreto y lleguen a la gente.</t>
  </si>
  <si>
    <t>Me gustaría que vuelva Lacalle Pou, porque me pareció que tuvo una buena gestión y me dio más confianza que otras opciones.</t>
  </si>
  <si>
    <t>Me gustaría que vuelva Lacalle Pou... buena gestión...</t>
  </si>
  <si>
    <t>Me parece que estaría bueno. Lo importante es que sea una persona capaz, más allá de si es hombre o mujer.</t>
  </si>
  <si>
    <t>La educación pública es muy importante y valiosa en Uruguay, pero siento que hoy tiene varios problemas que hay que mejorar. Me genera preocupación, porque es clave para el futuro de los niños y jóvenes.</t>
  </si>
  <si>
    <t>Creo que habría que mejorar la calidad de la enseñanza, apoyar más a los docentes y adaptar mejor los contenidos a la realidad de hoy. También trabajar en la motivación de los alumnos y en la infraestructura</t>
  </si>
  <si>
    <t>Anabela curti</t>
  </si>
  <si>
    <t>59899501503</t>
  </si>
  <si>
    <t>Tenemos un presidente ausente</t>
  </si>
  <si>
    <t>liderazgo debil</t>
  </si>
  <si>
    <t>Era un presidente q se involucraba en todo siempre presente</t>
  </si>
  <si>
    <t>Q se deje de tantos paseos y empiece a gobernar</t>
  </si>
  <si>
    <t>Estaría bueno un cambio y otra visión</t>
  </si>
  <si>
    <t>Está bien cumple</t>
  </si>
  <si>
    <t>X el momento ninguno</t>
  </si>
  <si>
    <t>Jenniffer</t>
  </si>
  <si>
    <t>59895621805</t>
  </si>
  <si>
    <t>Ama de casa busco empleo</t>
  </si>
  <si>
    <t>No veo cambios suba del ga s</t>
  </si>
  <si>
    <t>Todos iguales son llegan y no hacen nada</t>
  </si>
  <si>
    <t>Más trabajo menos suba de precio</t>
  </si>
  <si>
    <t>No estoy segura</t>
  </si>
  <si>
    <t>Bien</t>
  </si>
  <si>
    <t>Más maestras, más tener en cuenta escuelas rurales</t>
  </si>
  <si>
    <t>Leticia Fuentes</t>
  </si>
  <si>
    <t>59891041948</t>
  </si>
  <si>
    <t>Trabajo de Administrativa</t>
  </si>
  <si>
    <t>Por que estoy viendo cambios</t>
  </si>
  <si>
    <t>Senti que el País en general siguió igual o peor</t>
  </si>
  <si>
    <t>Poner más oportunidades de trabajo.</t>
  </si>
  <si>
    <t>Estaría bueno el cambio</t>
  </si>
  <si>
    <t>Positivo</t>
  </si>
  <si>
    <t>Más inclusión.</t>
  </si>
  <si>
    <t>59891715438</t>
  </si>
  <si>
    <t>estudiante</t>
  </si>
  <si>
    <t>me gusta</t>
  </si>
  <si>
    <t>me gustó</t>
  </si>
  <si>
    <t>no se</t>
  </si>
  <si>
    <t>para variar</t>
  </si>
  <si>
    <t>me gusta todo</t>
  </si>
  <si>
    <t>Melani</t>
  </si>
  <si>
    <t>59896451019</t>
  </si>
  <si>
    <t>Nada</t>
  </si>
  <si>
    <t>.</t>
  </si>
  <si>
    <t>Porque saco al país en plena pandemia</t>
  </si>
  <si>
    <t>Hablar con empresas extranjeras para ubicarse en uruguay y hacer más trabajo. Cerrar bocas de drogas y no dar condenas chicas</t>
  </si>
  <si>
    <t>Si, Luis La Calle Pou</t>
  </si>
  <si>
    <t>Porque yo ya tengo un candidato</t>
  </si>
  <si>
    <t>Se está perdiendo, hay muchas familias que no llevan a los hijos a estudiar aunque sea gratuita</t>
  </si>
  <si>
    <t>Esta bien</t>
  </si>
  <si>
    <t>Eduardo Soria</t>
  </si>
  <si>
    <t>59898342010</t>
  </si>
  <si>
    <t>Nunca me gustó el Frente y menos con éste gobierno que hizo muchas promesas y no ha cumplido y lo integra gente que como siempre digo,no tiene idea dónde está parado, Negro es uno de ellos.</t>
  </si>
  <si>
    <t>rechazo politico partidario</t>
  </si>
  <si>
    <t>Por todo lo qué le tocó pasar, pandemia incluida.</t>
  </si>
  <si>
    <t>Renunciar, jajajaja.</t>
  </si>
  <si>
    <t>Podria volver Luisito.</t>
  </si>
  <si>
    <t>No veo a nadie como para ser candidata, menos la Cosse.</t>
  </si>
  <si>
    <t>No tengo conocimiento al respeto.</t>
  </si>
  <si>
    <t>No, prefiero no opinar porqué desconozco</t>
  </si>
  <si>
    <t>Francisco</t>
  </si>
  <si>
    <t>59898330467</t>
  </si>
  <si>
    <t>Técnico en turismo</t>
  </si>
  <si>
    <t xml:space="preserve"> Me da indicio a que no he hecho mucho. No me gustó. No me gusta para nada.</t>
  </si>
  <si>
    <t xml:space="preserve"> Un presidente que tuvo muchas cosas cuando empezó con la pandemia y todavía aún así sacó el país adelante y este que no ha tenido nada, no ha hecho nada, es puro bla bla bla paseo por acá, paseo por allá pero nunca hace nada</t>
  </si>
  <si>
    <t>Un presidente que... sacó el país adelante y este que no ha tenido nada, no ha hecho nada</t>
  </si>
  <si>
    <t xml:space="preserve"> muchas cosas, dejar de andar tanto para si, ponerse a hacer cosas que la verdad que últimamente hace un poco y nada</t>
  </si>
  <si>
    <t xml:space="preserve"> Sí, la cachipón va a ser volver a salir presidente.</t>
  </si>
  <si>
    <t>Sí, la cachipón [Lacalle Pou] va a ser volver a salir presidente.</t>
  </si>
  <si>
    <t xml:space="preserve"> Me parece que hay cosas que no hay porque ahora que ahora las mujeres tienen el mismo derecho a lo... Hay cosas que no deben ser cambiadas y ser respetadas. Presidente es hombre. No creo que la mujer sea capaz de poder llevar un país a delante.</t>
  </si>
  <si>
    <t xml:space="preserve"> pésima siempre vi un emparo la verdad poco más de de responsabilidad tendrían que tener los maestros y profesores</t>
  </si>
  <si>
    <t xml:space="preserve"> No hay más responsabilidad de los profesores. Cualquier cosa le sirve pasar paro. Y te lo dice alguien que estudia la universidad pública, lo estoy diciendo, la carrera de Abogacía.</t>
  </si>
  <si>
    <t>Silvana Álvarez Corujo</t>
  </si>
  <si>
    <t>59892814414</t>
  </si>
  <si>
    <t>Administrativa</t>
  </si>
  <si>
    <t>Creo que quisiera tuviera educación, salud, seguridad por prioridad</t>
  </si>
  <si>
    <t>Por ser un burgués que nunca pensó en el pobre</t>
  </si>
  <si>
    <t>No regalar tiempo a la cualicion y ponerse las pilas con sus propuestas</t>
  </si>
  <si>
    <t>Aún no</t>
  </si>
  <si>
    <t>Xq generalmente las mujeres tienen más coherencia con las prioridades</t>
  </si>
  <si>
    <t>Horrible que permitan los recortes</t>
  </si>
  <si>
    <t>La, educación más allá de un derecho fundamental e indispensable tiene que ser accesible</t>
  </si>
  <si>
    <t>Marisol Heredia</t>
  </si>
  <si>
    <t>59899216198</t>
  </si>
  <si>
    <t>Aun sigo estudiando para terminar bachillerato</t>
  </si>
  <si>
    <t>Pq no hemos visto nada productivo en el tema de seguridad y empleo</t>
  </si>
  <si>
    <t>Pq fomento y creeo nuevos empleo ademas tomo buenas cartas en el asunto del covid y se vio mas seguridad en la calle y nuestros hogares apoyo al lagurante</t>
  </si>
  <si>
    <t>Fomento y creeo nuevos empleo... tomo buenas cartas en el asunto del covid... mas seguridad</t>
  </si>
  <si>
    <t>Poner mano bien firme a los delitos como robos, atractos y violadores en general que se pongan firme contra los delincuentes nada de pobresito q vallan a lagurar ennvez de robar q la ley sea pareja q si robas valla preso por 3 o 5 año nada de preventiva y visitas ni domiciliaria q valla a la carcel a asumir su error de ladron</t>
  </si>
  <si>
    <t>Si , espero se vuelva a postular lacalle pou</t>
  </si>
  <si>
    <t>Seria algo distinto pero mientras aga lo q se debe hacer y defender el pueblo y el delincuente q quede preso mejor</t>
  </si>
  <si>
    <t>Valoro q alla escuelas tiempo completo cn talles y me gustaria q los maestros le den mas dedicacion a profecion ya q los padres confiamos en el cuidado y buenos aprendisaje</t>
  </si>
  <si>
    <t>La atencion y dedicacion al detalle de cada niño pq cada uno es un mundo distinto y va a distinto ritmo de aprendee</t>
  </si>
  <si>
    <t>Cristina Gonzalez</t>
  </si>
  <si>
    <t>59898449943</t>
  </si>
  <si>
    <t>Jubilada de Educacion Secundaria ,y activa en empresa rural</t>
  </si>
  <si>
    <t xml:space="preserve"> Porque las propuestas o los principios en que se fundamentaba la campaña electoral y que se haría en realidad una vez conquistado el gobierno, no se cumplen. Si hablamos de seguridad, si hablamos de educación, si hablamos de gente en situación de calle, si hablamos de pobreza, el MIDE se está trabajando muy mal, la pobreza va a ser difícil combatirla si solamente se trata de erogaciones a favor de quienes están en esa situación, valga la redundancia, pero no para inducirlos a mirar nuevos horizontes, a proyectar, a formarse. Entonces no es aprobable este gobierno.</t>
  </si>
  <si>
    <t xml:space="preserve"> Porque los principales puntos en los que se basó la campaña electoral de la calle se cumplieron, total o parcialmente. Además, en el medio se sufrió el COVID, tremendo, una sequía tremenda, y no obstante no se veía la pobreza, la pobreza en todos los sectores, es decir, de la clase media y de la clase baja, de la clase obrera. Entonces, considero que la seguridad, por ejemplo, no fue para nada mala, hubo planes, no se cumplió en algún aspecto, por ejemplo, cubrir todos los cargos de campaña y de ciudades y de pueblos con policía permanente, pero se trabajó muchísimo para que ello ocurriera. En la educación hubo un plan, una reformulación, que nos guste o no nos guste, se realizó, no tuvo éxito. Bueno, es relativo, podemos estar en pro o en contra, trabajar basado en las capacidades y ver aquellos puntos fuertes de la persona, para desde ahí partir para trabajar por competencias, creo que para el mundo actual es tal cual, ya lo veíamos en las proyecciones que se hacían en el 2000, con el comienzo del nuevo siglo, por la Unesco. La economía del país, se lo sufrían los problemas que sufre hoy, porque había una idea bien acabada sobre cómo se tenía que trabajar. Hoy, por ejemplo, aumenta el dólar y es un jolgorio total, a los dos días baja, sube la nata, sube el gasoil, el gasoil que es el fundamento de la economía del país en cuanto la ganadería y la agricultura trabajan con el gasoil. Bueno, aumenta el gas, los impuestos están por las nubes, caprichosamente se trabaja contra propuestas y acciones que realizó el otro gobierno. Hay una situación muy embarazosa que no se sabe cómo resolver y es un gobierno que presenta mucha flojidad, mucha debilidad. En el caso del gobierno de la calle Pou, teníamos una mano firme, puede haber tenido equivocaciones, pero tuvimos una mano firme.</t>
  </si>
  <si>
    <t>Puntos de campaña se cumplieron... seguridad no fue mala... educación hubo un plan... mano firme</t>
  </si>
  <si>
    <t>APP-INC</t>
  </si>
  <si>
    <t xml:space="preserve"> Grosso modo diría que este gobierno no tiene medidas para tener crecimiento. Es decir, todo nos afecta, lo interior y lo exterior. No hay medidas contundentes frente a una sequía que asoló hasta ayer, el sur del país, se perdieron cosechas íntegras, hay solo apoyo. Y bueno, de créditos con el 5% blando, ¿les llaman? Sí, son blandos, 5% de interés. Pero más que eso no hay, ¿verdad? No tienen claro cómo va a realizar el futuro y estamos en el segundo año, empezando el segundo año, como quien dice, de este período.</t>
  </si>
  <si>
    <t xml:space="preserve"> sí no? en el partido, yo voy a poner la calle Pou y Sanchez no? ah y acá estuvo apretando el coso</t>
  </si>
  <si>
    <t>sí no? ... la calle Pou y Sanchez no? ah y Blanca Rodríguez</t>
  </si>
  <si>
    <t xml:space="preserve"> Bueno, yo no creo, hoy por hoy, que haya diferencias entre el gobierno de un hombre o de una mujer. Es decir, esa desigualdad que hoy se hace en verdaderas campañas feministas, porque la mujer no tiene igualdad con respecto al hombre, yo no las creo ni las percibo. En el trabajo, la mujer y el hombre cobran exactamente lo mismo. Que haya trabajo, que sea más del sexo masculino, por la fortaleza de los músculos, por las características corporales, va bárbaro. Pero que la mujer desde el punto de vista intelectual y desde el punto de vista del gobierno, lo puede hacer como el hombre, no tengo dudas. Es más, la mujer es la que dirige la economía del hogar desde siempre, históricamente, milenariamente. ¿Quién fue la primera que plantó semillas cuando el hombre se iba de caza en la época prehistórica? La mujer. Bueno, eso se trasladó luego a que la mujer era la que cuidaba a los niños, los ancianos, la que arremendaba, la que cocinaba, la que hacía mil maravillas para llevar adelante la vida del hogar. Creo que está tan capacitada como el hombre.</t>
  </si>
  <si>
    <t xml:space="preserve"> Bueno, por otra parte no contesté, pero serían los próximos candidatos la Calle Pou, por el Partido Nacional o por la coalición, veremos, y Sánchez para el partido que está en el gobierno actualmente.</t>
  </si>
  <si>
    <t xml:space="preserve"> Bueno, reforma tras reforma, reformulación tras reformulación y al fin y al cabo la educación está en estado pésimo, no solamente por los resultados de PISA que a mí no me van, soy antigua docente, de jubilada, directora, pero considero que la educación no forma para la vida, es decir, ¿cuáles son los puntos más importantes que la educación a los niveles de primaria y nivel medio, las enseñanzas medio se deben de impartir? Bueno, leer, escribir, sumar, restar, dividir y multiplicar, tener una convivencia, una convivencia armónica y saber defenderse en la vida, ¿cómo? A través de la formación en competencias, bueno, en competencias o en o por objetivos, pero yo creo que hoy por hoy más por competencias, porque por ejemplo ya leí en el diario, el diario El País, que están siendo requeridos muchísimo para trabajar en oficios, que se necesita gente con oficios, bueno, trabajar por competencias, antes la educación secundaria, wow, lo mejor, lo más alto del punto de vista del nivel, del nivel al que se aspiraba desde el punto de vista económico, bueno, los oficios también dan y muchísimo, los artesanos hoy trabajan muchísimo, pero estamos hablando de la formación y la capacitación para trabajar en oficios que requiere la tecnología actual, entonces eso le falta, le falta, la gente sale de primaria sabiendo leer poco y nada, sumar, restar, dividir y multiplicar, casi nada, ¿por qué? Porque no se hace reforzamiento del conocimiento, es decir, no a las tablas, no a la memoria, pero desde cuando la memoria no es una función cognitiva fundamental, nadie está hablando de memorizar, sino la memoria desde el punto de vista de que yo pueda cruzar variables, resolver situaciones, problemas, ¿con qué? Con elementos que me ha aportado la educación público estatal, eso no se está cumpliendo, los maestros están desgastados, hay una violencia terrible en la sociedad y por ende en los centros educativos y ya no son aquellos lugares donde se aprendía a ser ciudadano, que para eso fueron fundadas las escuelas.</t>
  </si>
  <si>
    <t>Wilson</t>
  </si>
  <si>
    <t>59892627420</t>
  </si>
  <si>
    <t>Electricista</t>
  </si>
  <si>
    <t>Porque no me convence como está llevando el país</t>
  </si>
  <si>
    <t>Porque hace años ningún gobierno hace algo por buscar soluciones.</t>
  </si>
  <si>
    <t>Terminar con la inseguridad en las calles y dar oportunidades d trabajo a los que nacimos en uruguay  en lugar d darle a los inmigrantes q cada vez son más.</t>
  </si>
  <si>
    <t>Nada d lo q hay me convence.</t>
  </si>
  <si>
    <t>Depende d quien sea la candidata que se postule</t>
  </si>
  <si>
    <t>Mediocre</t>
  </si>
  <si>
    <t>El sistema educativo. Mucha PC y tablet q se utiliza para jugar y no para aprender y practicar lo q se trato en clase</t>
  </si>
  <si>
    <t>Alejandro</t>
  </si>
  <si>
    <t>59892519424</t>
  </si>
  <si>
    <t>Cerro Largo</t>
  </si>
  <si>
    <t>Porque estoy de acuerdo con algunas cosas pero otras no</t>
  </si>
  <si>
    <t>También cosas que me parecen bien y otras no tanto</t>
  </si>
  <si>
    <t>Pensar en la inflación que se viene por el tema de la guerra en Irán</t>
  </si>
  <si>
    <t>Por la coalición es Lacalle y por el FA el pacha Sanchez</t>
  </si>
  <si>
    <t>Son más justas</t>
  </si>
  <si>
    <t>Decayó mucho</t>
  </si>
  <si>
    <t>El sistema educativo esta fuera de época y los maestros no todos por supuesto algunos están muy por debajo del nivel básico.</t>
  </si>
  <si>
    <t>Eric Araujo</t>
  </si>
  <si>
    <t>59894548696</t>
  </si>
  <si>
    <t>Changas</t>
  </si>
  <si>
    <t xml:space="preserve"> porque creo que todavía va muy poco tiempo de su gestión y no ha demostrado todavía igual hay en unos aspectos que no están muy convencidos todavía de la gestión</t>
  </si>
  <si>
    <t>recien comienza</t>
  </si>
  <si>
    <t xml:space="preserve"> como ya te expliqué en el audio anterior yo creo que como es que no hubo tanto tiempo sin pandemia de la gestión de la calle</t>
  </si>
  <si>
    <t>No hubo tanto tiempo sin pandemia de la gestión de la calle</t>
  </si>
  <si>
    <t xml:space="preserve"> Yo creo que el gobierno primero que nada debería de empezar por el tema de salud y el tema de trabajo porque no solo acá en mi ciudad se han salto sino que en el país entero estamos con una tasa de desempleo bastante alta</t>
  </si>
  <si>
    <t xml:space="preserve"> No, la verdad es que no me imagino todavía, no estoy pensando en las próximas elecciones, no, no, ni idea de esas preguntas.</t>
  </si>
  <si>
    <t>No, la verdad es que no me imagino todavía... ni idea...</t>
  </si>
  <si>
    <t xml:space="preserve"> Yo creo que sería un hecho histórico acá en Uruguay ya que nunca hubo una mujer presidente. Entonces creo que sería bueno y sería un desafío bastante grande. Las mujeres las cagan mucho pero con algunas decisiones son buenas.</t>
  </si>
  <si>
    <t xml:space="preserve"> ¿Qué gran tema es ese tema de la educación pública? Yo creo que está sobrevalorada, ya que hay mucha, mucha gente que no estudia porque no tiene tiempo o porque ya no tiene la capacidad. Porque, por ejemplo, en mi caso yo estudié, me recibí y todavía no tengo trabajo, entonces de nada te sirve estudiar.</t>
  </si>
  <si>
    <t xml:space="preserve"> Yo creo que debería de cambiarse el tema de los celulares en el ámbito público y de cambiarse el tema de que ya se le está dando muchas alas a los estudiantes, el tema de que ya no hay esa exigencia que había antes. Cada vez estamos creando una sociedad más estúpida y una sociedad que no piensa por sí misma.</t>
  </si>
  <si>
    <t>Verónica</t>
  </si>
  <si>
    <t>59893751123</t>
  </si>
  <si>
    <t>Operadora Penitenciaria</t>
  </si>
  <si>
    <t xml:space="preserve"> porque no aparece con verdadero liderazgo, tampoco se ha pronunciado cuando estuvo en la Selac con respecto a Venezuela y a Cuba, considero que no tiene un liderazgo como para ser presidente.</t>
  </si>
  <si>
    <t xml:space="preserve"> porque si bien tiene el liderazgo bajo su gobierno o muchas corrupciones y creo que no tuvo la altura de poder manejar a su gobierno</t>
  </si>
  <si>
    <t>Hubo muchas corrupciones y creo que no tuvo la altura de poder manejar a su gobierno</t>
  </si>
  <si>
    <t xml:space="preserve"> Creo que debería tomar medidas más contundentes en cuanto a la gente en situación de calle, en cuanto a la pobreza, en cuanto a la seguridad. Creo que no se han tomado las medidas suficientes con la mayor claridad posible.</t>
  </si>
  <si>
    <t xml:space="preserve"> A mí me gustaría como próximo presidente a Oscar Andrade, pero no creo que lo irán para ser presidente, pero sí me gustaría porque tiene un perfil como para ser presidente.</t>
  </si>
  <si>
    <t>A mí me gustaría como próximo presidente a Oscar Andrade</t>
  </si>
  <si>
    <t xml:space="preserve"> En cuanto a si me parece que una mujer debería ser presidente, me parece que depende de qué mujer, o sea, sí me gustaría que una mujer fuera presidente, pero depende de qué mujer sea la elegida.</t>
  </si>
  <si>
    <t xml:space="preserve"> Creo que debería volver la educación sexual a los liceos. No conozco mucho más del tema.</t>
  </si>
  <si>
    <t>Caroline</t>
  </si>
  <si>
    <t>59899307827</t>
  </si>
  <si>
    <t>Trabajo y estudio</t>
  </si>
  <si>
    <t>Porque nunca se entiende con claridad cuales son sus objetivos, siento que es un mal comunicador y eso hace que sus acciones no sean visibles</t>
  </si>
  <si>
    <t>Porque a pesar de que cayo la pandemia al comienzo de su mandato, logro mantener al pais en un equilibrio entre la salud y los que necesitaban trabajar. Eso se noto si comparamos regimenes de otros paises</t>
  </si>
  <si>
    <t>Logro mantener al pais en un equilibrio entre la salud y los que necesitaban trabajar (Pandemia)</t>
  </si>
  <si>
    <t>Creo que deberían escuchar cuales son las necesidades actuales de la población, ya que parece que se ocupan mas de cosas que no tienen importancia</t>
  </si>
  <si>
    <t>Aun no lo tengo del todo claro</t>
  </si>
  <si>
    <t>Creo que las mujeres tenemos una visión diferente de cómo resolver problemas y manejar conflictos</t>
  </si>
  <si>
    <t>No tengo contacto con la educación en este momento, por lo que no podria dar una opinión del panorama actual. Aunque cuando fui estudiante si estuve conforme con el sistema educativo público</t>
  </si>
  <si>
    <t>Lo que puedo opinar en cuanto a las escuelas del interior, mis sobrinos asisten a escuela pública, el principal problema que tuvo mi sobrina el año pasado fue con su maestra. Estuvo cerrificada casi todo el año y tuvo un desfile de diferentes maestros que terminaban sin enseñarles demasiado.
Creo que se deberia tener un plan para esas situaciones</t>
  </si>
  <si>
    <t>Patricia Katherina Konowaluk Gorgoros</t>
  </si>
  <si>
    <t>59891408542</t>
  </si>
  <si>
    <t>Servicios gastronomico portuario</t>
  </si>
  <si>
    <t>Me gusta su interés por las cosas y el equipo profesional q lo rodea</t>
  </si>
  <si>
    <t>No le tocó fácil su periodo . Y no me gusto la manera de llevar la pandemia. Pero no descarto los acuerdos económicos buenos que dejo</t>
  </si>
  <si>
    <t>(NEU) balance del manejo de crisis</t>
  </si>
  <si>
    <t>No le tocó fácil... no me gusto la manera de llevar la pandemia. Pero acuerdos económicos buenos</t>
  </si>
  <si>
    <t>DES-PAN</t>
  </si>
  <si>
    <t>Seguir trabajando en la seguridad. Afirmativo q la encuestas presentaron mejorías. Pero seguro se puede hacer más</t>
  </si>
  <si>
    <t>Sería un adelanto  significativo de los partidos tradicionales , llevaré a una mujer a dicho puesto</t>
  </si>
  <si>
    <t>Me gusta. Me gusta y apoyo realmente la educación pública. Siempre cosas a mejorar. Pero es  de primer mundo</t>
  </si>
  <si>
    <t>El asónalo entró sin dudas.  Aulas más prolijas mejor educación</t>
  </si>
  <si>
    <t>Ángeles</t>
  </si>
  <si>
    <t>59899342122</t>
  </si>
  <si>
    <t>San José</t>
  </si>
  <si>
    <t>Secretaria Ejecutiva</t>
  </si>
  <si>
    <t>Es un programa de gobierno que a medida de las posibilidades lo está cumpliendo.</t>
  </si>
  <si>
    <t>Porque no cumplió lo que había manifestado en su campaña electoral. Además de los hechos de corrupción dentro del mismo gobierno. Lamentable</t>
  </si>
  <si>
    <t>Porque no cumplió lo que había manifestado en su campaña electoral. Además corrupción</t>
  </si>
  <si>
    <t>Hace un año que dió inicio. Y ya ha cumplido con más proyectos que en 5 años del gobierno anterior.
Creo que debe continuar por el camino que está realizando.</t>
  </si>
  <si>
    <t>Una cosa es desear y otra es que sea así.
Pero creo que Carolina Cose podría ser.</t>
  </si>
  <si>
    <t>Creo que Carolina Cose podría ser.</t>
  </si>
  <si>
    <t>Porque sería bueno que fuera una mujer al frente de nuestro país. Le daría otra impronta y reflexión a la sociedad, en forma positiva.</t>
  </si>
  <si>
    <t>NA</t>
  </si>
  <si>
    <t>Carlos Adrian Acosta Lopez</t>
  </si>
  <si>
    <t>59896269757</t>
  </si>
  <si>
    <t>Analista de sistemas</t>
  </si>
  <si>
    <t>Porque es una marioneta sin desiciones propias</t>
  </si>
  <si>
    <t>Paso una pandemia y el país no se vino abajo, eso fue algo sin presedentes</t>
  </si>
  <si>
    <t>Paso una pandemia y el país no se vino abajo</t>
  </si>
  <si>
    <t>Hacer cambios significativos qué si tengan reflejo en la sociedad</t>
  </si>
  <si>
    <t>La calle pou nuevamente</t>
  </si>
  <si>
    <t>Porque no???</t>
  </si>
  <si>
    <t>La educación en Uruguay es muy buena</t>
  </si>
  <si>
    <t>Dejar de usar las túnicas</t>
  </si>
  <si>
    <t>Nadia Sagasti</t>
  </si>
  <si>
    <t>59892963908</t>
  </si>
  <si>
    <t>Porque aún no he notado grandes avances en el país todo lo que ha hecho demora un tiempo para ver resultados reales y que perduren en el tiempo</t>
  </si>
  <si>
    <t>Porque creo que actuó bien en situaciones como la pandemia que en otros aspectos como seguridad y empleo no estuvo bajo control</t>
  </si>
  <si>
    <t>Actuó bien en situaciones como la pandemia... seguridad y empleo no estuvo bajo control</t>
  </si>
  <si>
    <t>Generar más fuentes de empleo, apuntar a la seguridad , bajar impuestos el país en que vivimos es un país muy caro para sobrevivir , la salud que todos tengamos las mismas oportunidades y ajustar beneficios para los más vulnerable únicamente</t>
  </si>
  <si>
    <t>No me imagino ninguno todo cambia muy rápido</t>
  </si>
  <si>
    <t>Porque una mujer a mi parecer cubre más cosas que los hombres no ven y sería bueno que este al mando del país un a mujer porque no tiene que siempre ser un trabajo de hombres como en todo los ámbitos ha cambiado eso</t>
  </si>
  <si>
    <t>Sobre la educación pública a progresado mucho en los últimos años aún quedan muchas cosas por ajustar pero vamos camino a eso . Es un lugar donde no se ve diferencias apuntamos a la inclusión de personas diferentes y desde los más vulnerables a los no tantos.</t>
  </si>
  <si>
    <t>Docente más capacitados para la inclusión de otros niños especiales, la.comida que muchas veces el importe que da primaria no da para mucho. Profesionales capacitados para atender situaciones conflictivas  y a docentes que lo necesiten.</t>
  </si>
  <si>
    <t>Nilda García</t>
  </si>
  <si>
    <t>59899312226</t>
  </si>
  <si>
    <t>No ha colmado las expectativas de gran parte de la ciudadanía, sus proyectos a un año de gobernar no se han realizado, muchos impuestos también</t>
  </si>
  <si>
    <t>A pesar de la Pandemia y la sequía se manejo mucho mejor la economía y se cumplieron casi todas las metas que se fijaron</t>
  </si>
  <si>
    <t>A pesar de la Pandemia y la sequía se manejo mucho mejor la economía... se cumplieron metas</t>
  </si>
  <si>
    <t>Debería hacer que los Sindicatos no destruyan las empresas, y se vayan del País o cierren , y estar más preocupados por el País y no por la política exterior de izquierda</t>
  </si>
  <si>
    <t>Si a Lacalle Pou</t>
  </si>
  <si>
    <t>Depende de que sea</t>
  </si>
  <si>
    <t>La educación Pública está encaminada , pero si me preocupa la falta de valores .</t>
  </si>
  <si>
    <t>La educación en si está bien encaminada,</t>
  </si>
  <si>
    <t>Alejandro clemel</t>
  </si>
  <si>
    <t>59898625418</t>
  </si>
  <si>
    <t>Empleado</t>
  </si>
  <si>
    <t>Xq no le estoy dando importancia</t>
  </si>
  <si>
    <t>desinteres</t>
  </si>
  <si>
    <t>No le preste atención</t>
  </si>
  <si>
    <t>Muchas</t>
  </si>
  <si>
    <t>No pienso en ninguno</t>
  </si>
  <si>
    <t>Por qué no amerita que sea hombre o mujer! Haciendo las cosas bien!?</t>
  </si>
  <si>
    <t>La. Verdad que dentro de la. Posibilidades del país es buena</t>
  </si>
  <si>
    <t>La ayuda docente</t>
  </si>
  <si>
    <t>Camila</t>
  </si>
  <si>
    <t>59895397080</t>
  </si>
  <si>
    <t>Porque ha tomado buenas medidas</t>
  </si>
  <si>
    <t>Tomo buenas medidas para la población</t>
  </si>
  <si>
    <t>REFORMAS / MEDIDAS ESPECIFICAS</t>
  </si>
  <si>
    <t>(POS) acuerdo con medidas</t>
  </si>
  <si>
    <t>Hacer más puestos de trabajo para la población</t>
  </si>
  <si>
    <t>No sé de nadie</t>
  </si>
  <si>
    <t>Porque quizás siendo mujer toma mejores medidas</t>
  </si>
  <si>
    <t>Opino q es de gran valor porque muchos no tendrías para pagar un estudio</t>
  </si>
  <si>
    <t>Yo pienso q no debería mejorar nada así están bien</t>
  </si>
  <si>
    <t>María de las Mercedes Mederos</t>
  </si>
  <si>
    <t>59899435002</t>
  </si>
  <si>
    <t>Trabajo independiente</t>
  </si>
  <si>
    <t>Porque no tiene capacidad de mando, no parece llevar el mando, no parece tener conocimiento de la realidad del país. No representa con dignidad a nuestro país.</t>
  </si>
  <si>
    <t>Era un hombre preparado, inteligente, culto. Estaba impecable siempre, estuvo a la altura de las circunstancias. Pasamos por una pandemia y se hizo cargo. Hubo inversión.</t>
  </si>
  <si>
    <t>Hombre preparado, inteligente... Pasamos por una pandemia y se hizo cargo. Hubo inversión.</t>
  </si>
  <si>
    <t>Fomentar las inversiones para generar trabajo real, la gente necesita trabajo para vivir con dignidad y progresar.  Dejar de aumentar el asistencialismo y aplicar políticas posibles de llevar a cabo. Disminuyan la pobreza.</t>
  </si>
  <si>
    <t>Espero que Lacalle Pou se presente, creo que si Bergara hiciera una buena gestión municipal sería un candidato, pero no le está llendo bien. Ojeda va a querer su parte. Y no sé si para esta o.la próxima pero Larrañaga es una figura que me gusta y se va haciendo de un legado solo.</t>
  </si>
  <si>
    <t>Lacalle Pou... Bergara... Ojeda... Larrañaga</t>
  </si>
  <si>
    <t>Creo que independiente del género, debe estar capacitada. Creo que hay algunas mujeres capaces pero no sé si son populares. No hay ninguna que sea lider.</t>
  </si>
  <si>
    <t>Creo que decayó mucho, no solo los programas sino la calidad de los maestros y directivos. Ya no están comprometidos con su carrera, ya no tienen vocación.</t>
  </si>
  <si>
    <t>Debería ser más exigente la carrera para que no cualquiera pueda cursarla, en mi departamento la mayoría la estudia por descarte, es lo único que había, lo más fácil.</t>
  </si>
  <si>
    <t>Andrea</t>
  </si>
  <si>
    <t>59899569136</t>
  </si>
  <si>
    <t>Xq se a desempeñado como corresponde c sus mismas ganas desde cuando asumió</t>
  </si>
  <si>
    <t>Xq él se desempeño c gratitud y confianza</t>
  </si>
  <si>
    <t>Sobre las rutas y asi no hayan tantos accidentes</t>
  </si>
  <si>
    <t>Luis lacalle pou</t>
  </si>
  <si>
    <t>Xq cambiaria un poco la tematica y planificacion</t>
  </si>
  <si>
    <t>Como un sistema q requiere reformas profundas y cambios significativos ,aunque sige siendo valorada como un pilar de integracion social.</t>
  </si>
  <si>
    <t>Educacion de calidad
Aigualdad y equitatividad 
Inclusividad
Mayor formacion docente 
Formentar la creatividad</t>
  </si>
  <si>
    <t>Selena valdez</t>
  </si>
  <si>
    <t>59894142245</t>
  </si>
  <si>
    <t>Estudiante</t>
  </si>
  <si>
    <t>No sabria responder, no sé</t>
  </si>
  <si>
    <t>No se, no estoy al tanto de las noticias</t>
  </si>
  <si>
    <t>La situacion del gobierno?</t>
  </si>
  <si>
    <t>No estoy al tanto la verdad de posibles candidatos</t>
  </si>
  <si>
    <t>No estoy al tanto la verdad...</t>
  </si>
  <si>
    <t>Estaria bueno para implementar otra perspectiva</t>
  </si>
  <si>
    <t>Negativas</t>
  </si>
  <si>
    <t>Mas espacios y aulas, como tambien mas profesores</t>
  </si>
  <si>
    <t>Leonardo</t>
  </si>
  <si>
    <t>59892961005</t>
  </si>
  <si>
    <t>Profesional autónomo</t>
  </si>
  <si>
    <t>Porque en mi opinión no ha estado a la altura de un presidente de la república, casi sin criterio propio e intencionado en su totalidad por sus asesores, secretario y prosecretario de presidencia, así como por el partido que militó. En decisiones importantes se ha mantenido neutro y creo que le falta madurar mucho políticamente hablando</t>
  </si>
  <si>
    <t>Porque aunque no vivía aquí durante la etapa de la pandemia del COVID, supo mantener el país en condiciones óptimas a pesar de las adversidades, tomó decisiones modestamente acertadas con su equipo de gobierno que le permitieron llevar el país por buen camino. A diferencia de Orsi, Lacalle Pou tuvo y tiene liderazgo aún después de su gestión y no se vió opacado por otros miembros de su gobierno como lo está haciendo el actual presidente que se ve opacado por su secretario y prosecretario de presidencia que al parecer son los que llevan el mando de la gestión</t>
  </si>
  <si>
    <t>Supo mantener el país en condiciones óptimas... liderazgo aún después de su gestión</t>
  </si>
  <si>
    <t>Creo que una de las medidas que debería tomar el gobierno para mejorar la situación es combatir la inseguridad, no con discursos ni presentaciones de "planes" para 10 años con la falsa "visión" futura; sino medidas concretas y sobre todo operativas para comenzar a disminuir el tema de la inseguridad en el país y particularmente en la capital que en los últimos días ha empeorado la situación, es increíble como se están viendo más personas en situación de calle que eso lacera gravemente la tranquilidad ciudadana porque esas personas en su mayoría son adictos que roban para subsistir y consumen drogas en plena vía pública, ni hablemos del tema de la limpieza, hacen todo lo contrario, sacan la basura de los contenedores y las dejan tiradas por la calle, así como hacen sus necesidades fisiológicas donde se les place. Por el tema de los robos y rapiñas tienen que ponerse las pilas, ya los delincuentes se sienten insentivados a seguir delinquiendo lejos de generarle temor el hacerlo. Si fueran realmente inteligentes los de este gobierno y quisieran mejorar su imagen para con el pueblo, deberían empezar por mejorar la seguridad del país, que el ciudadano común lo note, mientras eso no suceda pues tendrán una imagen cada vez más negativa, eso claro está es porque a ellos les interesa más su imagen que el hacer realmente su trabajo que fue por el cual fueron elegidos</t>
  </si>
  <si>
    <t>Bueno pensando en las próximas elecciones si pudiera votar pues lo haría por el candidato del partido La Libertad Avanza Uruguay, no soy del todo apoyar a Nicolás Quintana pero si fuera él creo que lo votaría por encima de cualquiera de la Coalición Republicana porque soy contrario a los partidos de coalición del Frente Amplio. Uruguay necesita un cambio político y aislarse de los partidos tradicionales pues llevan décadas y décadas gobernando y lejos de mejorar el país, lo que va es empeorando. Apuesto por las ideas libertarias</t>
  </si>
  <si>
    <t>La Libertad Avanza Uruguay, Nicolás Quintana... Uruguay necesita un cambio</t>
  </si>
  <si>
    <t>Porque en Uruguay no existe actualmente ninguna mujer de ningún partido político con la cual se pueda decir que lidere algún tipo de tendencia política que se alinee con lo que necesita el pueblo uruguayo. Uruguay carece mucho de ese liderazgo femenino, por eso no creo que en el tiempo que quede antes de las próximas elecciones vaya a aparecer alguna como para que pueda hacer frente a los demás candidatos y poder llegar a la presidencia</t>
  </si>
  <si>
    <t>No participo activamente en lo referente a la educación pública pero por lo que he escuchado de otras personas, puedo opinar que necesita una reforma profunda ya que debido a limitaciones de presupuesto y carencia de atención por parte del gobierno no se notan cambios positivos en cuanto a la educación pública en todos los niveles a esto se une también la degradación cultural que está sufriendo la sociedad que hace que los valores se vayan perdiendo y que existen dificultades cada vez más grandes para los estudiantes. La educación pública no debe politizarse, el gobierno debe ocuparse de lo que le corresponde pero como los demás sectores de la sociedad necesitan cambios profundos para que se puedan ver mejoras</t>
  </si>
  <si>
    <t>Bueno realmente hay muchos pero como se dice de donde vengo "la familia es la primera escuela del ser humano", de allí parte el como ese niño, adolescente o joven se va a proyectar hacia la sociedad. En la actualidad los valores de la responsabilidad ante el estudio se han perdido y en parte es por el cambio que desde la familia se les ha inculcado a la generación que estudia. Lamentablemente todo se interrelaciona porque debido alto costo de vida que cada vez más sufre este país, las familias deben hacer un esfuerzo mayor para tratar de llevar la economía familiar lo mejor posible y ello en muchos casos implica el desapego con los miembros de la familia que estudian y obviamente esto repercute en un mal desempeño de los mismos. Desde el punto de vista de la educación pública pues se ha perdido la exigencia para que el estudiando sea más responsable ante los estudios y ante el buen comportamiento, recientemente vi una noticia de una pelea en un centro público y eso dice mucho del desempeño que en ese centro educativo se lleva a cabo y ese es un caso visible a la luz pública, la realidad es la que se vive día a día en los centros educacionales que dista mucho de un buen desempeño en el aprendizaje. Falta exigencia, disciplina y rigor por parte de los docentes y administrativos de los centros de educación pública</t>
  </si>
  <si>
    <t>59895982676</t>
  </si>
  <si>
    <t>Xq es indesiso</t>
  </si>
  <si>
    <t>Hizo más cosas q este</t>
  </si>
  <si>
    <t>La gente q duerme en la calle</t>
  </si>
  <si>
    <t>Lacalle</t>
  </si>
  <si>
    <t>Xq seria buena presencia femenina pero no hay csndidata</t>
  </si>
  <si>
    <t>Aceptable</t>
  </si>
  <si>
    <t>Más exigencias</t>
  </si>
  <si>
    <t>Anthony Figueredo</t>
  </si>
  <si>
    <t>59891721212</t>
  </si>
  <si>
    <t>Realmente es más un desapruebo, pero es básicamente porque mis pensamientos no sé asemejan a los de él, y siento que está haciendo cosas mal, como el tema de no querer unirse con el resto de países para parar el narcotráfico, etc</t>
  </si>
  <si>
    <t>No recuerdo realmente que el haya hecho algo malo, aunque si recuerdo (no del todo seguro) que en su gobierno fue que se le dió de manera instantánea un pasaporte nuevo a Marset cuando lo habían detenido, no? Lo cual lo hace igual a este que está ahora, todos ayudantes del narcotráfico y la gente "mala"</t>
  </si>
  <si>
    <t>(NEU) sospecha / opacidad</t>
  </si>
  <si>
    <t>Recuerdo... se le dió de manera instantánea un pasaporte nuevo a Marset... igual a este</t>
  </si>
  <si>
    <t>Mejorar la seguridad, 100%</t>
  </si>
  <si>
    <t>Realmente no, porque no me interesa la política, así que no me informo mucho sobre las cosas</t>
  </si>
  <si>
    <t>Realmente no, porque no me interesa la política...</t>
  </si>
  <si>
    <t>Me da lo mismo, sea mujer o hombre, solo espero que hagan las cosas bien y tomen las decisiones correctas</t>
  </si>
  <si>
    <t>Yo siento que dentro de todo, es bastante buena, pero realmente, no sabría que opinar</t>
  </si>
  <si>
    <t>Algunas veces es todo medio desorganizado, pero no creo que haya forma de arreglarlo la verdad</t>
  </si>
  <si>
    <t>59898337821</t>
  </si>
  <si>
    <t>Cocinera</t>
  </si>
  <si>
    <t>No a cumplido nada de lo q dijo en campaña</t>
  </si>
  <si>
    <t>Pudo resolver de buena manera lo q se le presento</t>
  </si>
  <si>
    <t>Bajar costos de vida</t>
  </si>
  <si>
    <t>Para q sea más humana</t>
  </si>
  <si>
    <t>Es un desastre cada vez se educa menos</t>
  </si>
  <si>
    <t>Que los maestros den mejor educación</t>
  </si>
  <si>
    <t>Ivet</t>
  </si>
  <si>
    <t>59894683102</t>
  </si>
  <si>
    <t>Todavia no veo resultado de los planes que piensan aplicar en seguridad, en situaciones calle y en trabajo. El gobierno no esta considerando la cantidad de uruguayos que no encuentran trabajo por el impacto de migracion. Cualquier pais empieza por sus propios ciudadanos.
Ellos vienen con gran formacion y es una dedigualdad porque somos de mas subdesarrollados que ellos en todo. Y no tengo animo ni espiritu de no aceptar los migrantes, pero si de ver como hay mas obstaculos para los ciudadanos de este pais.
Volviendo a gob, se aprecia como muy positivo la salud publica todos los cambios...que igual, siguen requiriendo avances.</t>
  </si>
  <si>
    <t>Goberno para una elite, no mejoro situacion calle, al contrario, este gobierno heredo mas en todo el pais. 
Lo que si fue positivo fue accionar en pandemia. Lo rodearon buenos profesionales.</t>
  </si>
  <si>
    <t>Goberno para una elite... positivo fue accionar en pandemia.</t>
  </si>
  <si>
    <t>Coordinar todos los ministerios en tema seguridad, situacion calle. Achicar burocracia.
Fomentar trabajo de uruguayos</t>
  </si>
  <si>
    <t>Lustemberg, Blanca Rodriguez, Orsi, Lignari, Pedro Irigoin  ( intend Canelones), Olivera</t>
  </si>
  <si>
    <t>Lustemberg, Blanca Rodriguez, Orsi, Lignari, Pedro Irigoin, Olivera</t>
  </si>
  <si>
    <t>Y porque no ?
Mientras demuestre actitud de mando .
Eso si, tendra que contar con la prensa y estar muy presente en territorios en estos 4 años</t>
  </si>
  <si>
    <t>Hubieron cambios positivos , pero falta muchisimo. Hay cuestiones que el gobierno no esta visualizando como formacion de tecnicaturas de UTU, que al salir a mercado de trabajo compiten con un profesional. Eso desestimula al que estudia y no mejora el servicio. Ej. Licenciado Ed Fisica con 4 años de carrera y un recreador con 9 meses de formacion.
Los comedores en liceo se deben multiplicar. La seguridad en zona roja siguen los problemas. A nivel curricular, vamos igual, con una inclusion no resuelta y docentes que no pueden solos</t>
  </si>
  <si>
    <t>La inclusion sigue siendo problema porque no hay equipos dentro de escuela apoyando. La pobreza infantil relacionada desde lo vincular con flias esta complicada. Impera la violencia</t>
  </si>
  <si>
    <t>Luis marcelo beroy</t>
  </si>
  <si>
    <t>59897372646</t>
  </si>
  <si>
    <t>Soy discapacitado</t>
  </si>
  <si>
    <t>Porque en solo un año a realizado muchas cosas y tiene tiempo para seguir haciéndolo</t>
  </si>
  <si>
    <t>Creo que no solamente no cumplo, sino que pasaron muchas cosas turbias</t>
  </si>
  <si>
    <t>Creo que tendría que seguir escuchando las inquietudes de el pueblo, y en base a la necesidad seguir realizando</t>
  </si>
  <si>
    <t>No,creo que delgado va hacer uno se los va a intentar</t>
  </si>
  <si>
    <t>No, creo que delgado va hacer uno se los va a intentar</t>
  </si>
  <si>
    <t>Aunque no se quien,creo que las mujeres merecen una oportunidad</t>
  </si>
  <si>
    <t>Creo que debería ser mejor paga y consigo,la motivación traería más responsabilidad. Pero considero que es buena</t>
  </si>
  <si>
    <t>Mejor paga,más seguridad para los docentes y trabajar apoyados de un grupo de asistentes sociales ,que se interioriza con las familias</t>
  </si>
  <si>
    <t>Marcia Morel Tabarez</t>
  </si>
  <si>
    <t>59899554334</t>
  </si>
  <si>
    <t>Rivera</t>
  </si>
  <si>
    <t>Creo que está lenta la cosa. Podría preocuparse un poco más, especialmente con la violencia en los centros de estudio.</t>
  </si>
  <si>
    <t>Muchas cosas escondidas, mal explicadas.</t>
  </si>
  <si>
    <t>Poner talleres en los refugios. Como carpintería, o albañileria, o peluquería o maquillaje. Darle a las personas un "algo para hacer". Muchos salen a robar , como pasa acá en el barrio. Suben por los techos.</t>
  </si>
  <si>
    <t>No. No tengo idea de quién.</t>
  </si>
  <si>
    <t>Depende de la persona. No sólo porque sea mujer vamos a votarla.</t>
  </si>
  <si>
    <t>Todos los años cambia algo. Los que la pasamos mal con eso somos los docentes. 
Todo se les es permitido a los estudiantes. Ya ni aprenden algo...lo importante es pasarlos.
Aparte, no respetan la figura de director/a en el liceo, mucho menos la de docente. 
La educación viene de la casa, y no saben decir "permiso", " buen día", nada.</t>
  </si>
  <si>
    <t>- La cantidad de estudiantes en el aula.
- *Prohibir* el uso de celulares dentro del centro. 
- entre otras</t>
  </si>
  <si>
    <t>Javier</t>
  </si>
  <si>
    <t>59891817498</t>
  </si>
  <si>
    <t>Hace lo posible por cumplir lo que prometió....no se cierra al diálogo....delega y hace intervenir a quienes lo rodean....lento pero seguro avanza con un horizonte definido</t>
  </si>
  <si>
    <t>Por que no gobernó para el pueblo si no para los de su clase....se aumento el sueldo mientras el pueblo ganaba menos.., ..se preocupó de sus cercanos y dejó a los lejanos lejos...dijo una cosa E hizo otra....se ocupó más de el que de los demás...en fin pertenece a una élite y lo hace notar marca la diferencia crea distancia</t>
  </si>
  <si>
    <t>No gobernó para el pueblo si no para los de su clase... se aumentó el sueldo... élite</t>
  </si>
  <si>
    <t>Crear fuentes de trabajo....vivienda....salud...educación....hacer que teniendo un trabajo ayudemos al prójimo a salir del pozo...encuentre salidas ejercite su mente aprenda a valerce por si mismo</t>
  </si>
  <si>
    <t>Es muy temprano para candidatear a alguien ya....dejemos que se sigan desempeñando y adquiriendo experiencia ya vendrán tiempos en los cuales se pondrán nombres y trayectorias y de ahí saldrá uno/a o más candidatos/as</t>
  </si>
  <si>
    <t>Es muy temprano para candidatear a alguien ya...</t>
  </si>
  <si>
    <t>Por que no.......por que nunca se tuvo.....y por qué hay mujeres muy capaces en nuestro territorio</t>
  </si>
  <si>
    <t>La educación antes te enseñaba a pensar a razonar a tomar decisiones.....ahora eso lo hace la IA...no es bueno</t>
  </si>
  <si>
    <t>Debe mejorar el sistema docente y no por que este mal si no que se debe avanzar.....debe mejorar la educación pues se debe volver al respeto y consideración.....se puede discrepar más no se debe agredir.....de ninguna manera.....que piense distinto no lo hace mi enemigo....por que confrontar nos tiene que hacer crecer....en fin</t>
  </si>
  <si>
    <t>Micaela Aires</t>
  </si>
  <si>
    <t>59898430477</t>
  </si>
  <si>
    <t>falta de liderazgo fuerte y respuestas rápidas.</t>
  </si>
  <si>
    <t>liderazgo claro, manejo firme en momentos clave (como la pandemia), impulso de reformas</t>
  </si>
  <si>
    <t>Liderazgo claro, manejo firme en momentos clave (como la pandemia), impulso de reformas</t>
  </si>
  <si>
    <t>APP-LUC</t>
  </si>
  <si>
    <t>combinar medidas urgentes (lo que duele hoy) con cambios de fondo (lo que mejora a largo plazo).</t>
  </si>
  <si>
    <t>Es probable que la competencia se dé entre frente amplio y la coalición, con mezclas de experiencia y renovación</t>
  </si>
  <si>
    <t>competencia entre frente amplio y la coalición...</t>
  </si>
  <si>
    <t>sería bueno como avance en representación, pero lo clave es elegir a la persona más preparada.</t>
  </si>
  <si>
    <t>una educación pública que sigue siendo un pilar importante y motivo de orgullo, pero que necesita mejoras urgentes para no quedarse atrás</t>
  </si>
  <si>
    <t>no es solo invertir más, sino invertir mejor, adaptando la educación a la realidad actual y a lo que los jóvenes necesitan.</t>
  </si>
  <si>
    <t>Diana</t>
  </si>
  <si>
    <t>59893758549</t>
  </si>
  <si>
    <t>Jornalera,trabajo independiente</t>
  </si>
  <si>
    <t>Viene cumpliendo con la propuesta</t>
  </si>
  <si>
    <t>Falto a la propuesta</t>
  </si>
  <si>
    <t>Implementar más trabajo</t>
  </si>
  <si>
    <t>A un no</t>
  </si>
  <si>
    <t>No he pensado en ello</t>
  </si>
  <si>
    <t>La educación en nuestro país es muy muy importante y creo que se está empezando a recuperar</t>
  </si>
  <si>
    <t>Es importante que tengan los materiales y las herramientas y no pierdan días de clases</t>
  </si>
  <si>
    <t>Sergio.Suero</t>
  </si>
  <si>
    <t>59896225944</t>
  </si>
  <si>
    <t>Direccion de empresas</t>
  </si>
  <si>
    <t xml:space="preserve"> es muy sencillo, llegó al presidente prometiendo mucho y realmente no ha hecho nada en los grandes temas como de seguridad, etcétera, siempre es un se deberá ser pero nunca da medidas concretas, nunca trae más policía porque si no pone más policía todas esas cámaras, montevideo está lleno de cámaras y con eso si no hay una persona atrás que siga agarre y encarcelas los delincuentes no sirve para nada además en el tema económico que vamos a hablar, si mantuvo la inflación, bajó todo bárbaro y puso una serie de impuestos que había dicho que no iba a poner cada vez estamos peor y tenemos que pagar más por vivir en el Uruguay</t>
  </si>
  <si>
    <t xml:space="preserve"> porque dado las condicionantes que ya al mes tenía una enfermedad que paralizaba al país y que paralizó al mundo después tuvo paros, tuvo huelgas, tuvo problemas con el agua, etc. si bien tuvo un gobierno que fue muy conflictuado siempre respondió bien, el pueblo lo apoyó y tal no es así que en el primer año la calle a pesar del COVID tenía un 60% de aprobación en cambio Orso tiene un 3% con eso ya todo dicho aparte la calle cumplió lo que prometió dentro de lo que pudo hacer dado los gastos extraordinarios que hubo porque inclusive en la sequía algo que no ha hecho este gobierno que ha sido lo mismo y puso sal y tiene problemas con los agentes patógenos, etc. rebajó el agua y acá no se ha hecho nada realmente el gobierno de la calle ha sido muy buen gobierno dado las condicionantes</t>
  </si>
  <si>
    <t>Condicionantes (enfermedad, sequía)... cumplió lo que prometió dentro de lo que pudo</t>
  </si>
  <si>
    <t xml:space="preserve"> El gobierno para mejorar la situación, y tendría que llamar a elecciones porque realmente está siendo muy mal gobierno y además de eso, si no habría que pedirle que cumpla con lo que prometió, que saque los impuestos, que los rebaje, que rebaje el costo de la vida, que aumente los sueldos, que aumente las jubilaciones, los pobres jubilados con los aumentos que ha dado, se mueren de hambre, no ha hecho nada en favor. Dijo que iba a dar un premio a los estudiantes, etc. Sí, pero se le da la mitad y no al resto, como siempre, hace medias medidas y anuncia cosas que no puede cumplir porque tiene un presupuesto acotado y no tiene dinero y ha gastado mucho más de lo que debería.</t>
  </si>
  <si>
    <t xml:space="preserve"> Creo que este gobierno ha hecho todo lo posible para que el pueblo recuerde a la calle Pope, vea su gobierno, vea lo que ha hecho esto y el candidato por excelencia es la calle.</t>
  </si>
  <si>
    <t>el candidato por excelencia es la calle.</t>
  </si>
  <si>
    <t xml:space="preserve"> Muy sencillo, acá no es un problema de sexo si es hombre o es mujer. Tiene que demostrar que está apta para ser presidente. No por ser mujer, sino por sus características, por su relevancia. Y acá vemos claramente que no hay ninguna mujer que pueda tener el gran premio de ser presidente. Le podrían dar por ser mujer, pero con eso no se consigue nada. Es decir, los cargos se ganan por aptitud, no por género.</t>
  </si>
  <si>
    <t xml:space="preserve"> La educación pública en nuestro país deja mucho que encierro. Hay pocas escuelas, poca educación y el régimen del propio gobierno está alentando que haya universidades privadas, que la educación sea privada y lamentablemente hoy por hoy hay una diferencia entre la enseñanza privada y la enseñanza pública. La enseñanza pública con sus paros, sus luchas, etcétera, etcétera, ha quedado muy retrasado y lamentablemente porque eso nunca lo quisimos, hoy por hoy los títulos de la universidad privada valen mucho más que lo de la pública, lo que es vergonzante.</t>
  </si>
  <si>
    <t xml:space="preserve"> Y en educación pública lo que hay que hacer es, primero tener un cuerpo docente alto, luego cumplir los horarios y dejar toda la equidad política en este gremio, porque se está en la enseñanza para enseñar, no para estar con problemas de aquí y allá, y que los alumnos cada día falten más. La desesacción cada vez es mayor, y el gobierno no hace nada, habla mucho pero no hace nada.</t>
  </si>
  <si>
    <t>Clara Jaunarena</t>
  </si>
  <si>
    <t>59898596107</t>
  </si>
  <si>
    <t>Cuido personas</t>
  </si>
  <si>
    <t xml:space="preserve"> porque la verdad que está haciendo cualquier cosa, cualquier cosa o sea, ¿cómo será que es uno de los presidentes peores de América Latina? ¿cómo será?</t>
  </si>
  <si>
    <t xml:space="preserve"> Porque dentro de todo la calle asumió con responsabilidad una pandemia, lo del agua, o sea, lo veo como que fue siempre para adelante, no como este que tenemos como presidente ahora.</t>
  </si>
  <si>
    <t>Asumió con responsabilidad una pandemia, lo del agua... fue siempre para adelante</t>
  </si>
  <si>
    <t xml:space="preserve"> ir a elecciones de nuevo, que volvieran a elegir un presidente digno.</t>
  </si>
  <si>
    <t xml:space="preserve"> O sea, no me es indiferente, ni fu ni fa, o sea, no sé. También tendría que ver quién sería, no, la que se te iraría a candidata. Porque si estamos con Coze, estamos en el horno. Estamos peor que todavía con Orsi.</t>
  </si>
  <si>
    <t xml:space="preserve"> La verdad es que prefiero no opinar. En cuanto a eso prefiero no opinar.</t>
  </si>
  <si>
    <t xml:space="preserve"> No, la verdad es que en la educación pública cada vez está peor, en todos los sentidos, está muy muy bravo, muchos repetidores, no se encara a nada, no, está cada vez peor, no le sirve al gobierno gente que quiera estudiar.</t>
  </si>
  <si>
    <t>Jimena Baldomir</t>
  </si>
  <si>
    <t>59899767001</t>
  </si>
  <si>
    <t>Asesora Independiente</t>
  </si>
  <si>
    <t>Partido Independiente</t>
  </si>
  <si>
    <t>La seguridad empeora cada día, ya no denunciamos porque se pierde mucho tiempo y no sirve para nada. La economía en recesión, los empresarios pierden la confianza, somos cada vez menos competitivos y muchas empresas extranjeras se van.
La gente en la calle cada vez mas y peor
Solo incrementan impuestos y gastos sin ningún resultado</t>
  </si>
  <si>
    <t>Porque no hizo reformas que debió haber hecho</t>
  </si>
  <si>
    <t>Disminuir el gasto ya!! Dejar de contratar empleados públicos, eficientizar la gestión, bajar IVA e IMESI para contribuir a mayor consumo, eliminar burocracia; limpiar la corrupción policial, designar en ministerios clave personas trabajadoras y mínimamente capaces</t>
  </si>
  <si>
    <t>No lo imagino</t>
  </si>
  <si>
    <t>Porque solo me interesa si el o la candidata es trabajador, capaz, honesto y preparado, su género me es indiferente</t>
  </si>
  <si>
    <t>Que supo ser excelente y ahora, salvo contadas excepciones, es muy mala</t>
  </si>
  <si>
    <t>La gobernanza, la capacitación de los docentes urgente! Luego otras cosas</t>
  </si>
  <si>
    <t>Gabriela Medeiros</t>
  </si>
  <si>
    <t>59894590650</t>
  </si>
  <si>
    <t>Desempleada  por temas de salud</t>
  </si>
  <si>
    <t>Es un desastre no ha hecho nada interesante. Lo vote y no me siento representada,le quedó grande el cargo.no dice nada concreto.como presidente es un buen payador</t>
  </si>
  <si>
    <t>incapacidad</t>
  </si>
  <si>
    <t>No nos dejaba pegados cuando iba alguna reunión internacional.sabe hablar se  desenvuelve mejor que orsi.</t>
  </si>
  <si>
    <t>No nos dejaba pegados cuando iba alguna reunión internacional... sabe hablar</t>
  </si>
  <si>
    <t>No debería interesarse tanto aún por Venezuela y cuba hasta que arregle  los problemas que tenemos en Uruguay  en seguridad.medidas concretas atacar al narcotrafico y delincuencia en general .para mí lo más grave hasta ahora</t>
  </si>
  <si>
    <t>No creo en ninguno,son todos iguales del color de partido que sean , prometen  cosas que no cumplirán, solo para tener la atención de la gente, cuando ganan se olvidan de lo que prometieron</t>
  </si>
  <si>
    <t>No creo en ninguno, son todos iguales... prometen cosas que no cumplirán</t>
  </si>
  <si>
    <t>A ver si el género femenino viene. Con menos mentiras e hipocresía.para ver si cambia algo en el sentir del pueblo.</t>
  </si>
  <si>
    <t>Es muy buena la educación publica no tengo nada que decir sobre ello.Estoy muy conforme</t>
  </si>
  <si>
    <t>Solo en la parte edilicia,no esperar a quejarse que los salones se lleven cuando comienzan las clases.sino arreglar todo en los 3 meses de vacaciones</t>
  </si>
  <si>
    <t>Natalia Blanco</t>
  </si>
  <si>
    <t>59898705378</t>
  </si>
  <si>
    <t>Porque no veo que haya tomado medidas en ningún aspecto, incluso se la ha pasado viajando mas de lo que ha estado en Uruguay. Es un estado completamente ausente y el país está empeorando en todos los sentidos</t>
  </si>
  <si>
    <t>Porque si bien soy consciente de que faltó mucho por hacer (sobre todo en materia de seguridad), también es cierto que hubo una pandemia y sequía que sobrellevar (y personalmente creo que ambas se manejaron bien) y a pesar de eso se hizo mucho más de lo que está haciendo el gobierno actual</t>
  </si>
  <si>
    <t>Falto mucho por hacer (seguridad), pandemia y sequía se manejaron bien... hizo mucho más</t>
  </si>
  <si>
    <t>Y para empezar, que haga algo. Casi no hay propuestas y las pocas que hay fueron criticadas por ellos mismos cuando eran oposición. En las calles hay cada vez más indigentes, más inseguridad, mas mugre. Los precios de alimentos, alquileres, productos de limpieza, etc siguen aumentando y los sueldos no alcanzan porque realmente son una vergüenza, es imposible que una persona que viva sola pueda mantener una casa con solo 1 sueldo. Cada vez cierran mas empresas o se van del país, no hay trabajo (me incluyo entre los desocupados y el plan de empleo está pensado para ayudar a los mayores de 50 y menores de 29; pero los que estamos entre medio no tenemos ningún beneficio para conseguir empleo).
Esas son algunas de las cosas que debería solucionar el gobierno</t>
  </si>
  <si>
    <t>Ojeda estuvo muy bien posicionado en las elecciones anteriores y se habla de la vuelta de Luis Lacalle Pou</t>
  </si>
  <si>
    <t>Ojeda estuvo muy bien posicionado... vuelta de Luis Lacalle Pou</t>
  </si>
  <si>
    <t>La verdad es que me es indiferente si es mujer u hombre. Lo importante es que sepa gobernar y solucionar los problemas del país</t>
  </si>
  <si>
    <t>Siento Rechazo. Últimamente siento que los maestros no quieren trabajar. Cobran mucho más que un policía (que arriesga su vida) y no se involucran con sus tareas, solo piensan en hacer paros.
En cuanto a la educación, no veo un problema realmente, creo que el problema está en quienes la ejercen</t>
  </si>
  <si>
    <t>Yo siempre fui a instituciones públicas y creo haber recibido una buena educación, por eso pienso que el problema no es la educación en si misma, sino como dije antes, quienes la ejercen. Hubo un cambio en la actitud de los maestros/profesores que antes se preocupaban por enseñar y que sus alumnos egresaran con un buen nivel, en cambio ahora solo se preocupan por cobrar y trabajar cada vez menos</t>
  </si>
  <si>
    <t>Virginia de los santos</t>
  </si>
  <si>
    <t>59891417951</t>
  </si>
  <si>
    <t>Estudiante de profesorado</t>
  </si>
  <si>
    <t>Porque no estoy tan inflamada</t>
  </si>
  <si>
    <t>No coincido con su postura ni desempeño</t>
  </si>
  <si>
    <t>No sabría decirte alguna en específico</t>
  </si>
  <si>
    <t>La mujer que es vicepresidenta</t>
  </si>
  <si>
    <t>106 (Argimón)</t>
  </si>
  <si>
    <t>Porque es necesario</t>
  </si>
  <si>
    <t>Es un tema que no tiene el presupuesto ni la atención necesaria, en donde los más perjudicados son los docentes</t>
  </si>
  <si>
    <t>Todo se debería repensar</t>
  </si>
  <si>
    <t>Natalia</t>
  </si>
  <si>
    <t>59892814887</t>
  </si>
  <si>
    <t>No hay cambios</t>
  </si>
  <si>
    <t>Mala gestión</t>
  </si>
  <si>
    <t>Bajar inseguridad</t>
  </si>
  <si>
    <t>Alejandro sanchez</t>
  </si>
  <si>
    <t>Depende la candidata</t>
  </si>
  <si>
    <t>Puede mejorar</t>
  </si>
  <si>
    <t>Mas presupuesto primaria</t>
  </si>
  <si>
    <t>Maria Virginia</t>
  </si>
  <si>
    <t>59898342094</t>
  </si>
  <si>
    <t xml:space="preserve"> Porque lo veo muy ejecutivo, abierto a unos mercados para el comercio. Yo que sé, ahora veo que estaba reunido con lo del MIDE también por... bueno, estuvo reunido con el ministro del Interior, siempre está arriba de los problemas. Eso es importante. Ahora con el MIDE por lo de situación de calle.</t>
  </si>
  <si>
    <t>A04</t>
  </si>
  <si>
    <t xml:space="preserve"> ¿Por qué no lo veo, trabajador? O sea, es un tipo que hace dos años está de licencia, surfeando, andando a caballo. Yo como soy trabajadora, ahora estoy jubilada, pero yo admiro el que trabaja, el que tuvo una carrera, el que se desempeñó siempre trabajando. Eso que tengo el apellido, mi mamá, mi papá, esto y eso, y después cuando puedo me las tomo. Y la calle Póvo nunca trabajó. Y siendo presidente también, era un figurete terrible, pero las cosas por las que se reunía son más bien reprobables, como lo de reunirse con empresas y conseguir en vez de licitar compras directas por millones de dólares.</t>
  </si>
  <si>
    <t>Nunca trabajó... figurete... compras directas por millones de dólares en vez de licitar</t>
  </si>
  <si>
    <t xml:space="preserve"> Yo creo que tienen, no sé cuáles son las medidas que van a tomar con la gente en situación de cash, pero creo que es el foco que se viene más duro, eso es bastante problemático de resolver, pero pienso que una acción de que estén de todos los ministerios y también de la oposición, que se pongan también las pilas y aporten para solucionar, porque es muy difícil de solucionar las situaciones.</t>
  </si>
  <si>
    <t xml:space="preserve"> Hoy todavía no pensé para nada los candidatos, digo, me parece que estamos en época de trabajar y no pensar en campaña electoral.</t>
  </si>
  <si>
    <t>Hoy todavía no pensé para nada los candidatos... época de trabajar</t>
  </si>
  <si>
    <t xml:space="preserve"> No necesariamente que sea mujer, me parece bueno que tengan las mismas oportunidades de ser tanto una mujer o un hombre, el que sea mejor para el país. No tiene por qué ser mujer por ser mujer, si es buena que tenga las mismas posibilidades.</t>
  </si>
  <si>
    <t xml:space="preserve"> Y la educación pública, es buena la educación pública, ahora hay mucha problemática familiar que atraviesa la educación, porque los niños, la violencia que hay en los hogares, la violencia de los padres, todo eso lo viven los niños, entonces dentro de los liceos y de las escuelas también hay violencia y se golpean y se pegan y si uno le dice algo a la maestra, o sea, si la maestra le dice algo a un niño capaz de venir a pegarle a la familia entera, entonces con una situación de violencia que atraviesa a la educación, pero creo que nuestros docentes son muy buenos.</t>
  </si>
  <si>
    <t xml:space="preserve"> Bueno, esta es mi hija, es docente y trabaja en un colegio privado y en el público. Y en el público lo que tiene es falta de personal, hay un solo adscrito para un liceo barrotado, los salones le falta aire acondicionado o algo tan calo en verano y frío en invierno, y las clases están superpobladas. Las clases son de muchos alumnos, hay liceos que están con mucha gente, a veces el docente solo no puede con toda la clase, porque no puede detenerse, hay algunos que van mas atrás, mas lento, hay que llevar un ritmo porque no dan abasto.</t>
  </si>
  <si>
    <t>RUDY</t>
  </si>
  <si>
    <t>59895448955</t>
  </si>
  <si>
    <t>JUBILADO</t>
  </si>
  <si>
    <t>NO HA HECHO NADA PRODUCTIVO</t>
  </si>
  <si>
    <t>PESE A PANDEMIA,LLEVO BASTANTE BIEN</t>
  </si>
  <si>
    <t>PESE A PANDEMIA, LLEVO BASTANTE BIEN</t>
  </si>
  <si>
    <t>TRABAJO Y MEJORAR SEGURIDAD</t>
  </si>
  <si>
    <t>LACALLE POU Y BLANCA RODRIGUEZ</t>
  </si>
  <si>
    <t>Por qué no.no importa el género</t>
  </si>
  <si>
    <t>ES ACEPTABLE</t>
  </si>
  <si>
    <t>MÁS EXIGENCIA A LOS ALUMNOS</t>
  </si>
  <si>
    <t>Paola</t>
  </si>
  <si>
    <t>59892719923</t>
  </si>
  <si>
    <t>Empleo público</t>
  </si>
  <si>
    <t>Porque al momento no considero justo dar una opinión</t>
  </si>
  <si>
    <t>Por Como se manejó ante la pandwmia, por su forma de representarnos en el mundo</t>
  </si>
  <si>
    <t>Ahora debe ponerse a hacer cosas que marquen un cambio</t>
  </si>
  <si>
    <t>Si, Lacalle Pou</t>
  </si>
  <si>
    <t>Porque sería algo nuevo en este país</t>
  </si>
  <si>
    <t>Creo que es buena</t>
  </si>
  <si>
    <t>Creo que la mejora pasa por temas que deberían incluirse en la enseñanza</t>
  </si>
  <si>
    <t>Walter atahides</t>
  </si>
  <si>
    <t>59898857438</t>
  </si>
  <si>
    <t>Es serio responsable</t>
  </si>
  <si>
    <t>Quedaron muchas dudas en su gestión</t>
  </si>
  <si>
    <t>Son tantas las necesidades que enfrenta la ciudadanía que para empezar se necesitan proyecto que den más empleos  más capacitaciones ,más seguridad</t>
  </si>
  <si>
    <t>No aún no mucha agua a de correr</t>
  </si>
  <si>
    <t>Todos somos iguales y las oportunidades se le puede dar al que se la gane</t>
  </si>
  <si>
    <t>No tengo competencia para hablar de la educación</t>
  </si>
  <si>
    <t>Uno de lo aspectos que me gustaría que se pudiera avanzar sería que hubiera más escuelas de tiempo completo</t>
  </si>
  <si>
    <t>Paula Ruiz</t>
  </si>
  <si>
    <t>59894433483</t>
  </si>
  <si>
    <t>Es correcto,responsable,escucha.</t>
  </si>
  <si>
    <t>Habia corrupcion</t>
  </si>
  <si>
    <t>Mas seguridad y empleo</t>
  </si>
  <si>
    <t>La esposa de Orsi</t>
  </si>
  <si>
    <t>Porque la mirada de una mujer es diferente,podria ser feminista y estar mas atenta a la violencia d genero y hacia los niñ@s</t>
  </si>
  <si>
    <t>No se.. la nueva reforma no la entiendo</t>
  </si>
  <si>
    <t>Mas Insituciones hay superpeblacion</t>
  </si>
  <si>
    <t>Orangel betancourf</t>
  </si>
  <si>
    <t>59898198310</t>
  </si>
  <si>
    <t>Entrenador de triatlon</t>
  </si>
  <si>
    <t>Porque no esta haciendo nada por resolver problemas y esta haciendo cosas que dijo no iba a hacer</t>
  </si>
  <si>
    <t xml:space="preserve"> porque me parece que la calle primero tuvo que resolver el tema de la crisis de sequía junto con una pandemia y sin embargo pudo dejar de insolvente cumplir con ciertas cosas el país mejoró la verdad considero si bien no puede mostrar el mejor gobierno de la pandemia pero logró muchos cambios a positivo como el resuelve de la economía que abrió un poquito la inversión extranjera temas relacionados con políticas de edad nacional como venezuela y tomar una posición clara no como el gobierno actual considero que fuera un punto importante para la calle</t>
  </si>
  <si>
    <t>Resolvió crisis sequía y pandemia... economía... inversión extranjera... posición clara (Venezuela)</t>
  </si>
  <si>
    <t xml:space="preserve"> Bueno, primero, en mi caso, tomar una postura directa en cuanto a la situación de Venezuela. Si está de acuerdo o no está de acuerdo, eso por ejemplo, ¿A dónde afecta a la región? Segundo, responder las preguntas que realmente le preguntan al presidente. No dar respuestas sin base. Y segundo, hacer un plan, realmente decir, vamos a hacer esto, esto y aquello y realmente cumplirlo. No tipo, ah, hubo violencia, bueno hacemos un plan de violencia. Ah, y falta ocasión, hacemos un plan de ocasión. Ah, y un incendio, hacemos un plan de incendio. Tipo, que realmente tenga un plan estructurado y sobre todo llevarlo a cabo.</t>
  </si>
  <si>
    <t xml:space="preserve"> Yo creo que la calle podría volver a lanzarse como candidato.</t>
  </si>
  <si>
    <t>Yo creo que la calle podría volver a lanzarse</t>
  </si>
  <si>
    <t xml:space="preserve"> Me parece bueno porque le puede dar una visión diferente al país y nunca se ha enaudido de la oportunidad, así que me parece que no había problema</t>
  </si>
  <si>
    <t xml:space="preserve"> bueno, teniendo la oportunidad de compartir con gente de educación pública me parece que está buena maneja, hay en muchos sectores manejan dos idiomas, eso está bárbaro, me parece que sí está desactualizado el tema de evaluaciones, conozco de buena mano que a los niños los aprueban sin asistir, sin saber a clase, no los ponen a repetir varias veces las pruebas hasta que aprobé en el año, la verdad me parece que hay que ser un poquito más estricto en ese tipo de cosas y depende también de la escuela de toqueado, si bien es buena la escuela pública hay muchas escuelas que las han dejado de lado y la información no está tan buena, y sobre todo hay mucho tema de violencia en las escuelas actualmente</t>
  </si>
  <si>
    <t xml:space="preserve"> Bueno, uno que sea mucho más evaluativa realmente la educación. Eliminar el tema, no sé cómo sería el tema la violencia de los salones, el respeto nuevamente a los profesores, quitar este tema de que hay los niños que sean sensibles que hay que dejar los que vivan, no. La educación tiene que tener reglas y deben cumplirse, incluso con sanciones severas. Y niño que no pruebe por méritos propios, nada listo que no pruebe.</t>
  </si>
  <si>
    <t>Vanessa</t>
  </si>
  <si>
    <t>59893758728</t>
  </si>
  <si>
    <t>Auxiliar de servicio</t>
  </si>
  <si>
    <t>Es un desastre</t>
  </si>
  <si>
    <t>Fue excelente presidente</t>
  </si>
  <si>
    <t>Demasiadas</t>
  </si>
  <si>
    <t>Lacalle.</t>
  </si>
  <si>
    <t>Mientras no sea del frente amplio</t>
  </si>
  <si>
    <t>Es buena</t>
  </si>
  <si>
    <t>Más profesores</t>
  </si>
  <si>
    <t>Manuel</t>
  </si>
  <si>
    <t>59898421631</t>
  </si>
  <si>
    <t>Por capacidad, porque encontró un país que económicamente estaba mal porque sin mayorías logro tener presupuesto</t>
  </si>
  <si>
    <t>Dejo deudas Marset y el pasaporte, mucha corrupción en su gobierno</t>
  </si>
  <si>
    <t>Aplicar el programa seguir gobernando como hasta ahora</t>
  </si>
  <si>
    <t>Blanca Rodríguez Carolina Cosse
Bordaberry</t>
  </si>
  <si>
    <t>Blanca Rodríguez Carolina Cosse. Bordaberry</t>
  </si>
  <si>
    <t>Porque son tan capaces o mejor que los hombres</t>
  </si>
  <si>
    <t>Debería estar mejor, hay falta de compromiso de algunos educadores</t>
  </si>
  <si>
    <t>Más horas de clase escuelas de tiempo completo</t>
  </si>
  <si>
    <t>Cecilia</t>
  </si>
  <si>
    <t>59893424991</t>
  </si>
  <si>
    <t>Auxiliar servicio</t>
  </si>
  <si>
    <t>No se</t>
  </si>
  <si>
    <t>No sé del tema</t>
  </si>
  <si>
    <t>No tengo nada para decir . 
Me crié con escuela publica y ahora le dan uso mis hijos . 
Creo se ah avanzado un montón</t>
  </si>
  <si>
    <t>Estoy muy conforme .</t>
  </si>
  <si>
    <t>Ana Maria Rodriguez</t>
  </si>
  <si>
    <t>59892509256</t>
  </si>
  <si>
    <t>Porque me parece que está haciendo las cosas bien</t>
  </si>
  <si>
    <t>¿No sigue?</t>
  </si>
  <si>
    <t>Porque no cumplió con cosas que había prometido</t>
  </si>
  <si>
    <t>Las medidas que el está tomando me parecen bien</t>
  </si>
  <si>
    <t>Carolina Cose</t>
  </si>
  <si>
    <t>Porque me parece que una mujer muy responsable y muy por el pueblo</t>
  </si>
  <si>
    <t>Me parece que no necesita cambios. Que está bien llevada. Quizás un poco más de maestros</t>
  </si>
  <si>
    <t>Noelia</t>
  </si>
  <si>
    <t>59893528065</t>
  </si>
  <si>
    <t>Varias.</t>
  </si>
  <si>
    <t>Maria</t>
  </si>
  <si>
    <t>59899624741</t>
  </si>
  <si>
    <t>En su forma pausada esta cumpliendo
Nuevos puestos de trabajo
Menor inflación de los últimos 25 años 
Negociación colectiva
Aumento de cámaras de videovigilancia</t>
  </si>
  <si>
    <t>A06</t>
  </si>
  <si>
    <t>Demasiado presidenciable
Sin consultar a sus pares
Creo que hubo algo de corrupción  ahora hay que probarla</t>
  </si>
  <si>
    <t>Demasiado presidenciable... algo de corrupción ahora hay que probarla.</t>
  </si>
  <si>
    <t>Se están tomando medidas
Ahora hay que esperar los resultados</t>
  </si>
  <si>
    <t>Frente Amplio: Blanca Rodriguez
Carolina Cosse
Partidos Nacional: Nicolas Olivera
Partidos Colorado Ni idea</t>
  </si>
  <si>
    <t>FA: Blanca Rodriguez Cosse. PN: Nicolas Olivera. PC: Ni idea</t>
  </si>
  <si>
    <t>Es necesario el cambio y la alternancia</t>
  </si>
  <si>
    <t>Es muy buena</t>
  </si>
  <si>
    <t>Mayormente mayor presupuesto, para solucionar las carencias que hay</t>
  </si>
  <si>
    <t>Marcela</t>
  </si>
  <si>
    <t>59891312762</t>
  </si>
  <si>
    <t>Me parece coherente</t>
  </si>
  <si>
    <t>No fue coherente</t>
  </si>
  <si>
    <t>Coordinar mas</t>
  </si>
  <si>
    <t>No, aun no</t>
  </si>
  <si>
    <t>Cambiar un poco quizás, solucionar con otra mirada</t>
  </si>
  <si>
    <t>Nadie la valora</t>
  </si>
  <si>
    <t>Valorar, respetar, mantener</t>
  </si>
  <si>
    <t>Sandra</t>
  </si>
  <si>
    <t>59898923652</t>
  </si>
  <si>
    <t>Vivo en Colonia del Sacramento, en el interior pareciera que las medidas llegan mas tarde, un punto que note ese aumento to de ka jubilación de mi esposo por encima de inflación.Se nota la falta de trabajo, han cerrado varias fábricas y comercios, a pesar de ser un lugar relativamente seguro se ve mas gente desconocida, durmiendo en las calles, plazas, y revolviendo los contenedores</t>
  </si>
  <si>
    <t>Por los mismos motivos que este gobierno, hay problemas que tendrían que ser de Estado y no de gobierno   Cada 5 años se cambian muchas cosas y se.comienza de nuevo</t>
  </si>
  <si>
    <t>Problemas que tendrían que ser de Estado... cada 5 años se cambia y se comienza de nuevo</t>
  </si>
  <si>
    <t>Mejorar la educación, aun sin horas sin tomar( otro problema a discutir la toma de horas docentes) mejorar la accesibilidad a vivir en un lugar digno, trabajo con salarios adecuados, mejorar la seguridad, abrirse a nuevos mercados,</t>
  </si>
  <si>
    <t>No veo a ninguna figura que destaque y reuna las condiciones mínimas para ser gobernante</t>
  </si>
  <si>
    <t>No veo a ninguna figura que destaque...</t>
  </si>
  <si>
    <t>No importa el sexo que tenga , sino su capacidad</t>
  </si>
  <si>
    <t>Cada vez peor, tengo 3 hijos docentes, se como funciona y las carencias que hay Muchas cosas para cambiar</t>
  </si>
  <si>
    <t>La.forma de formar educadores, elección de horas, programas, la forma de tener un grado más, el poco valor que se les da dentro y fuera de las instihuciones</t>
  </si>
  <si>
    <t>Mariana</t>
  </si>
  <si>
    <t>59897026939</t>
  </si>
  <si>
    <t>Con tan poco material que dejó el anterior gobierno, gestiones dudosas , creo que va por buen camino,</t>
  </si>
  <si>
    <t>Demasiado abuso de poder y corrupción , referentes de partidos involucrados en estafas, abuso , operaciones que iban a ser una mejora al país quedaron en nada por fraudes</t>
  </si>
  <si>
    <t>Abuso de poder y corrupción... referentes involucrados en estafas... fraudes</t>
  </si>
  <si>
    <t>Enfocarse en el desempleo inseguridad que va tomando cada vez más cancha</t>
  </si>
  <si>
    <t>La veo a cosse, no hay otro partido que tenga algo para mostrar</t>
  </si>
  <si>
    <t>Por qué si es inteligente y tiene las condiciones de manejar un país , desps de haber dirijido como Cosse a Montevideo que tiene la mayor población del Uruguay ,puede perfectamente</t>
  </si>
  <si>
    <t>La educación es buena, lo que no está bien , es distribuida ,no nos olvidemos que es pública y gratuita</t>
  </si>
  <si>
    <t>La falta de profesores</t>
  </si>
  <si>
    <t>Alejandra Domínguez</t>
  </si>
  <si>
    <t>59894549399</t>
  </si>
  <si>
    <t>Psicóloga</t>
  </si>
  <si>
    <t>Estoy algo descreída de la política , siento que hablan mucho y hacen poco . No he visto cambios significativos ni para bien ni para mal</t>
  </si>
  <si>
    <t>N05</t>
  </si>
  <si>
    <t>Se tuvo que enfrentar a situaciones no esperadas que pudo sobrellevar bien pero siento que se podría haber hecho
Más</t>
  </si>
  <si>
    <t>Situaciones no esperadas que pudo sobrellevar bien pero siento que se podría haber hecho más.</t>
  </si>
  <si>
    <t>Mano dura a la delincuencia persecución al narcotrafico 
Aumento de seguridad en la cale 
Inversión más en educación 
Transformación del sistema de salud</t>
  </si>
  <si>
    <t>No me imagino , debería surgir alguien con otros aires pero parece que estuviéramos estancados en las mismas personas hace años</t>
  </si>
  <si>
    <t>No me imagino , debería surgir alguien con otros aires... estancados</t>
  </si>
  <si>
    <t>Podría tener otra visión de la realidad y actuar en consecuencia</t>
  </si>
  <si>
    <t>Siempre la creí la mejor pero se ha desvirtuado. Cada vez menos exigencias , más facilidades para aprobar que no aportan conocimientos a los alumnos . Clases superpobladas , docentes con multiempleo y certificaciones médicas extensas</t>
  </si>
  <si>
    <t>Más grupos 
Más  horas docentes 
Más recursos pedagógicos 
Menos flexibilidad</t>
  </si>
  <si>
    <t>Luz</t>
  </si>
  <si>
    <t>59892217775</t>
  </si>
  <si>
    <t>Lo veo bastante perdido pobre. Como improvisando</t>
  </si>
  <si>
    <t>El salía hablaba con la prensa. Como que tenía otra cancha</t>
  </si>
  <si>
    <t>Instituto de recapacitando para los drogaditos</t>
  </si>
  <si>
    <t>A luis</t>
  </si>
  <si>
    <t>Tiene que ser fuerte. Y respetado</t>
  </si>
  <si>
    <t>Por un lado veo maestras por vocación y por otro veo poca información en las escuelas. Le dan lo básico basico</t>
  </si>
  <si>
    <t>Más enseñanza. Más horas escolarizados</t>
  </si>
  <si>
    <t>Iliana</t>
  </si>
  <si>
    <t>59898552336</t>
  </si>
  <si>
    <t>Facilitadora de Biodanza</t>
  </si>
  <si>
    <t>Hechos como detener los pagos e  investigar y demandar a la empresa Cardama e investigar internamente muestran respeto por los dineros publicos. Viajar y negociar con China muestran iniciativa y coraje. Detener el proyecto Neptuno fue una buena señal. Implicar a todos los partidos en el plan de seguridad y aportar un enfoque diferente 
Comprometerse a resolver vivienda y crear trabajo...Y porque un año no es período suficiente para desaprobar</t>
  </si>
  <si>
    <t>Se basó en su habilidad en declarar hasta usar la mentira.
Fue corrupto, mandó romper documentos,
en estos días creo que fue llamado a declarar
No quedó claro si el dinero correspondiente al déficit fiscal generado y heredado al actual gobierno tuvo un destino justo o cuál.
Gobernó para los que más tienen y ese porcentaje bajo fue el que creció, los ma a oro</t>
  </si>
  <si>
    <t>Se basó en su habilidad en declarar hasta usar la mentira. Fue corrupto... gobernó para los que más tienen</t>
  </si>
  <si>
    <t>Avanzar en investigaciones
Avanzar en cooperación entre partidos, dejar la campaña de 5 años
Comprometerse fuertemente con combatir la pobreza
Cuidar organizando muy bien la comunicación con la gente
Hacer éticamente y mostrar lo que hace desde la defenza permanente de la ética</t>
  </si>
  <si>
    <t>Blanca Rodríguez 
Legnani</t>
  </si>
  <si>
    <t>Blanca Rodríguez. Legnani</t>
  </si>
  <si>
    <t>Necesitamos avanzar en el sentido de reducir la brecha de género en todos los ambitos
No debe seguir siendo considerado natural y lógico que sólo los  hombres nos gobiernen es demasiado injusto para que siga siendo asi. No tenemos ni paridad en las cámaras o el gabinete y seguimos como si no importara.
Otro motivo importante, la bancada femenina mostró ocuparse muy bien de los temas que preocupan a la gente 
Necesitamos cambios culturales importantes para facilitar de maneras diferentes la saluda de una cultura de la violencia a una cultura integradora, de respeto. Por su valor simbólico, icónico como figuras de gobierno y cómo detentora del respeto de la gente Blanca Rodríguez podría facilitar ese cambio y es mas que capaz y confiable</t>
  </si>
  <si>
    <t>La valoro me formé en ella pero se ha deteriorado mucho necesita mejorarse y revalorizarse.
Hay que trabajar en la conciencia de su valor, su potencial constructor de sociedad y protegerla protegiendo a quienes trabajan en ella.
Es un valor muy alto y una potente herramienta para la sociedad</t>
  </si>
  <si>
    <t>Me equivoqué en la anterior respuesta 
Tengo hija docente
No me atrevo a opinar sobre aspectos a cambiar, se me hace muy complejo el tema opinaria de manera rapida y el tema es muy importante</t>
  </si>
  <si>
    <t>Romina</t>
  </si>
  <si>
    <t>59892941126</t>
  </si>
  <si>
    <t>Monotributista</t>
  </si>
  <si>
    <t>TA asiento cualquier cosa</t>
  </si>
  <si>
    <t>Hiso muchas cosas vien</t>
  </si>
  <si>
    <t>Y cosas que no esta cumpliendo</t>
  </si>
  <si>
    <t>La calle pou</t>
  </si>
  <si>
    <t>No tengo fe en una presidenta</t>
  </si>
  <si>
    <t>Por el momento niuna</t>
  </si>
  <si>
    <t>Que no se yeven la comida las cosinera y les den repetición</t>
  </si>
  <si>
    <t>Nancy</t>
  </si>
  <si>
    <t>59899292716</t>
  </si>
  <si>
    <t>Empleado municipal</t>
  </si>
  <si>
    <t>Subió los combustibles no ha cumplido con las promesas electorales</t>
  </si>
  <si>
    <t>Otro que no cumple con las promesas electorales</t>
  </si>
  <si>
    <t>Bajar la carga impositiva a los trabajadores generar más puestos de trabajo</t>
  </si>
  <si>
    <t>No puede ser Vergara o Lacalle Pou Bordaberry</t>
  </si>
  <si>
    <t>Por dar espacio a las mujeres</t>
  </si>
  <si>
    <t>Esta cada ves peor con recortes de cursos y poco presupuesto</t>
  </si>
  <si>
    <t>Más docentes y más presupuesto</t>
  </si>
  <si>
    <t>Valeria</t>
  </si>
  <si>
    <t>59898268808</t>
  </si>
  <si>
    <t>No logrado ponerse en el rol de presidente y siempre se lo ve como inseguro en ese rol</t>
  </si>
  <si>
    <t>Se lo veía con mejor disposición y bien claro en las ideas al informar y evaluar la directiva del gobierno</t>
  </si>
  <si>
    <t>Mejor disposición y bien claro en las ideas al informar</t>
  </si>
  <si>
    <t>Tomar las riendas del gobierno , participar mas y estar mas presente como gobernante</t>
  </si>
  <si>
    <t>No...por ahora nadie que llegue a un nivel que me guste</t>
  </si>
  <si>
    <t>A ver wi cambia la cabeza del país, y las riendas mas firmes para gobernar</t>
  </si>
  <si>
    <t>Ah desmejorado mucho y   hay una desvaloracion de la enseñanza y del rol docente como educador</t>
  </si>
  <si>
    <t>Muchos, desde los contenidos , hasta la indñcorporacion de mas asistentes para poder trabajar en las clases de forma inclusiva</t>
  </si>
  <si>
    <t>LILIAN RIVEIRO</t>
  </si>
  <si>
    <t>59894442929</t>
  </si>
  <si>
    <t>Jubilada. Emprendimiento de 💯 virtual</t>
  </si>
  <si>
    <t>La transparencia de la gestión</t>
  </si>
  <si>
    <t>No sé, hay muchas cosas mal</t>
  </si>
  <si>
    <t>De las propuestas que haga</t>
  </si>
  <si>
    <t>De no avanzar en temas importantes</t>
  </si>
  <si>
    <t>La asistencia por ejemplo</t>
  </si>
  <si>
    <t>Jorge</t>
  </si>
  <si>
    <t>59898461446</t>
  </si>
  <si>
    <t>Veo esta haciendo las cosas bien, con cordura</t>
  </si>
  <si>
    <t>Hubo muchos casos de corrupción</t>
  </si>
  <si>
    <t>Llevar todos los casos de corrupción del gobierno anterior a juicio</t>
  </si>
  <si>
    <t>Si</t>
  </si>
  <si>
    <t>Por que creo hay candidatas como Blanca Rodriguez que están preparada para eso</t>
  </si>
  <si>
    <t>Buena</t>
  </si>
  <si>
    <t>Pablo</t>
  </si>
  <si>
    <t>59899607971</t>
  </si>
  <si>
    <t>Informática y Biodanza</t>
  </si>
  <si>
    <t>porque espero de un presidente una persona con más enfasis y mostrando determinación y rumbo, le tengo paciencia porque se trata de una persona que abre dialogos, conciliadora,y encontrar caminos intermedios lleva mas tiempo, pero en simultáneo con lo importante y las metodologías apropiadas, hay que atender y resolver lo urgente con lo que haya a mano.</t>
  </si>
  <si>
    <t>Desapruebo por su gestión en sí, su ideología y políticas aplicadas, pero como mandatario fue asombroso, una capacidad de liderazgo sumada a una capacidad de convencimiento y sapiencia en el manejo de las comunicaciones, que inclusive "mintiendo descaradamente" era creíble. No apruebo la LUC, ni la reforma de la educación ni otras cosas, pero que las llevó adelante y logró sus objetivos, lo hizo, y hasta el último día de su mandato estuvo haciendo gestiones, siendo aún lamentables, pero las hizo.</t>
  </si>
  <si>
    <t>(NEG) rechazo de medidas</t>
  </si>
  <si>
    <t>Desapruebo gestión/ideología, pero como mandatario fue asombroso (liderazgo)... mintiendo era creíble</t>
  </si>
  <si>
    <t>que situación?</t>
  </si>
  <si>
    <t>de que partido? Lacalle Pou por la coalición hizo todo para ser el único candidato que le pueda ganar al frente, del lado del frente no hay lideres a la altura de Lacalle en carisma y oratoria.</t>
  </si>
  <si>
    <t>Lacalle Pou por la coalición... del lado del frente no hay lideres</t>
  </si>
  <si>
    <t>Porque ya es hora de que se rompa el techo de cristal que tienen</t>
  </si>
  <si>
    <t>Esta cada vez más deteriorada por la situación social en general, por la escasa prioridad que tiene en jerarquizarla por ejemplo elevando sueldos de maestras, haciendolas mas atractivas y recreativas, estimulando múltiples áreas del conocimiento y a la vez de las habilidades socio-culturales, siendo centros de referencia no solo para escolares sino también para las familias. A la vez padecen el deterioro general de la sociedad en que el individualismo es cada vez más protagonista y la "masa" cada vez más informe, homogeneizado hacia la pauperización cultural.</t>
  </si>
  <si>
    <t>Mejores sueldos para maestras, mejores centros educativos, agiornados a la evolución cultural y tecnológica a la vez que valore el conocimiento histórico, ser centros de referencia socio cultural en su zona.</t>
  </si>
  <si>
    <t>Mónica</t>
  </si>
  <si>
    <t>59898462024</t>
  </si>
  <si>
    <t>Emprendedora , velas de miel</t>
  </si>
  <si>
    <t>Por el desastre del País no da el dinero cada vez cuesta llegar más a fin de mes la seguridad la salud el empleo , etc</t>
  </si>
  <si>
    <t>Daba más la economía la seguridad estaba pero no tanto había más trabajo</t>
  </si>
  <si>
    <t>Daba más la economía... había más trabajo</t>
  </si>
  <si>
    <t>Cambiar los ministros del vamos. Y cambiar las políticas que no están funcionando</t>
  </si>
  <si>
    <t>Hay que ver quiénes se postularía</t>
  </si>
  <si>
    <t>Espantosa no hay comunicación de un grado al otro. Llevan alos trabajando en la misma escuela y las maestras no se ponen de acuerdo que dar en el año para el año siguiente la maestra nueva retome dónde aprendieron. Los recreos los niños están sin vigilancia. están con los celulares las maestras en clase dicho x los niños , en dirección hablando entre ellas mientras los niños solos en el salón y en el recreo están con los celulares no recorren el patio y más cuando hay puntos ciegos. Poca vocación pica enseñanza. y si uno intenta ir hablar hay que pedir día y hora previa.  No hay reuniones de padres en todo el año ni después de entregan los boletines.</t>
  </si>
  <si>
    <t>Vocación, métodos de enseñanza. Al final van a tiempo extendido y cada vez no aprenden menos. Tercer año y no saben la tabla del 2</t>
  </si>
  <si>
    <t>JOSE ERNESTO FERNÁNDEZ ARTAVE</t>
  </si>
  <si>
    <t>59893560559</t>
  </si>
  <si>
    <t>Falta de información</t>
  </si>
  <si>
    <t>Por la información que tengo</t>
  </si>
  <si>
    <t>Descentralizar la economía</t>
  </si>
  <si>
    <t>¿Podría ser yo uno?</t>
  </si>
  <si>
    <t>Las mujeres son, objetivamente hablando, más emocionales en la toma de decisiones. No es machismo, es evidencia</t>
  </si>
  <si>
    <t>Me parece una de las mejores de América Latina</t>
  </si>
  <si>
    <t>Poner profesores más jóvenes</t>
  </si>
  <si>
    <t>Beatriz Recoba</t>
  </si>
  <si>
    <t>59898238163</t>
  </si>
  <si>
    <t>Por qué ir me gusta su firmeza y su conducción</t>
  </si>
  <si>
    <t>liderazgo firme</t>
  </si>
  <si>
    <t>Porque pienso que se desempeñó con mentiras, actos de corrupción, espionaje y otros</t>
  </si>
  <si>
    <t>Pienso que se desempeñó con mentiras, actos de corrupción, espionaje y otros</t>
  </si>
  <si>
    <t>Creo que las está tomando, sólo debe seguir con firmeza y se verán los resultados.</t>
  </si>
  <si>
    <t>Carolina Cosse</t>
  </si>
  <si>
    <t>Simplemente porque hay mujeres capaces de hacer una excelente gestión.</t>
  </si>
  <si>
    <t>Es un reflejo de lo qtsucede en nuestra sociedad, ya sea dentro o fuera de la familia.</t>
  </si>
  <si>
    <t>La currícula y metodología, adaptarlas a los tiempos que corren.</t>
  </si>
  <si>
    <t>Matías</t>
  </si>
  <si>
    <t>59892399636</t>
  </si>
  <si>
    <t>Gestión de Redes Sociales</t>
  </si>
  <si>
    <t>Convencimiento</t>
  </si>
  <si>
    <t>Prometió progreso para el país, y solo entregó regresión, desempleo, pobreza y corrupcion</t>
  </si>
  <si>
    <t>Prometió progreso... y solo entregó regresión, desempleo, pobreza y corrupcion</t>
  </si>
  <si>
    <t>Implementación inmediata de medidas para mejorar la articulación interinstitucional</t>
  </si>
  <si>
    <t>Cristina Lustemberg</t>
  </si>
  <si>
    <t>Ya es hora de demostrar que como un país que se destaca como un faro de progreso en latinoamerica, demostrarlo que podemos tener una presidenta, hay mujeres más que preparadas para esa responsabilidad</t>
  </si>
  <si>
    <t>Mi opinión es que aún queda mucho por mejorar en nuestra educación publica, aumento del presupuesto y modernización de las instalaciones, también de su infraestructura</t>
  </si>
  <si>
    <t>Mejora en la oferta educativa y modernización de la infraestructura administrativa y logística</t>
  </si>
  <si>
    <t>Marcelo Del Bó</t>
  </si>
  <si>
    <t>59893948446</t>
  </si>
  <si>
    <t>Es coherente con su trayectoria y es coherente con el programa propuesto a la ciudadanía.</t>
  </si>
  <si>
    <t>Porque es creíble. Me identifico más con su actitud.</t>
  </si>
  <si>
    <t>Intentar solucionar el tema de ciudadanos en situación de calle, lo mismo con la inseguridad y la delincuencia.</t>
  </si>
  <si>
    <t>Apriori, no sabría cual será la necesidad de la ciudadanía en cuestión de confianza. Un liderazgo es diferente a un candidato. Quizás la ciudadanía necesite líderes creíbles y confiables.</t>
  </si>
  <si>
    <t>Habría que fortalecerla, con nuevas perspectivas.</t>
  </si>
  <si>
    <t>No sabría decirlo, en concreto.</t>
  </si>
  <si>
    <t>59899435455</t>
  </si>
  <si>
    <t>Bailarina/escritora/docente</t>
  </si>
  <si>
    <t>Poca credibilidad, demasiado a la derecha, le falta fuerza y claridad 
No me siento representada por esa tibieza y la falta de plan y acción</t>
  </si>
  <si>
    <t>Chanta, estafador. No se preocupa ni piensa en los que no tienen cómo protegerse de los abusos de los más fuertes</t>
  </si>
  <si>
    <t>(NEG) rasgos personales negativos</t>
  </si>
  <si>
    <t>Chanta, estafador... no se preocupa por los que no tienen cómo protegerse</t>
  </si>
  <si>
    <t>Tomar medidas con la gente en situación de calle antes de que llegue el
Invierno 
Encargarse de la mejora de vida de las mujeres que mantienen niños: trabajo, vivienda, salud y cuidados
Eso es lo que me parece que hay que hacer ya
Y enseguida lo de las cárceles a ver si se puede transformar algo</t>
  </si>
  <si>
    <t>Constanza Moreira</t>
  </si>
  <si>
    <t>Veo a la presidenta de Mexico y pienso: y si, eso quiero para mi pais 
Una mujer con sensibilidad femenina y capacidad de mando</t>
  </si>
  <si>
    <t>Incertidumbre y un poco de impotencia</t>
  </si>
  <si>
    <t>Pensar en la época en que vivimos y que educación precisamos para generar una sociedad más empatía, viva y creativa</t>
  </si>
  <si>
    <t>Claudia</t>
  </si>
  <si>
    <t>59894853094</t>
  </si>
  <si>
    <t>Emprendedor</t>
  </si>
  <si>
    <t>Recien vamos un año de gobierno, durante ese periodo realizo varias acciones relevantes como el plan de seguridad, el tema de terminar con ciertos contratos desfavorecedores para el país, etc</t>
  </si>
  <si>
    <t>El gobierno de Lacalle fue pensado solo para empresarios, fue corrupto desde el primer momento hasta el último y nos ubico geopoliticamente como un narco estado</t>
  </si>
  <si>
    <t>Pensado solo para empresarios, fue corrupto... narco estado</t>
  </si>
  <si>
    <t>Realizar una reforma a la educación profunda, terminar con el favoritismo de la caja militar, impulsar la obra pública, denunciar y llevar a la justicia a los políticos anteriores que se corrompieron</t>
  </si>
  <si>
    <t>Por el frente amplio Carolina Cosse, Blanca Rodríguez, por los colorados o tengo idea y obviamente los blancos llevaran a Lacalle</t>
  </si>
  <si>
    <t>FA: Cosse, Blanca Rodríguez... blancos llevaran a Lacalle</t>
  </si>
  <si>
    <t>Es hora de un cambio de visión y tenemos mujeres preparadas para ello</t>
  </si>
  <si>
    <t>La educación pública es un pilar de nuestro país, debe ser fomentada, cuidada y realzada como lo que es, instrumento de crecimiento personal y desarrollo</t>
  </si>
  <si>
    <t>Mayor presupuesto para la educación y valoración</t>
  </si>
  <si>
    <t>Patricia Inzaurralde</t>
  </si>
  <si>
    <t>59898717206</t>
  </si>
  <si>
    <t>Rocha</t>
  </si>
  <si>
    <t>Fisioterapeuta</t>
  </si>
  <si>
    <t>Por no estar muy informada en este momento de su gestión</t>
  </si>
  <si>
    <t>Sobre todo por la luc</t>
  </si>
  <si>
    <t>Impulso al arte, educación, y priorizar franjas más vulnerables</t>
  </si>
  <si>
    <t>Blanca Rodriguez,  Andres Pereyra, Cristina luxtemberg</t>
  </si>
  <si>
    <t>Blanca Rodriguez, Andres Pereyra, Cristina luxtemberg</t>
  </si>
  <si>
    <t>Es independiente para mi el sexo, pero nunca hemos tenido una presidenta mujer, aunque internacional ente lo seria muy fácil creo</t>
  </si>
  <si>
    <t>Todavía mantiene la calidad a mi entender, pero le falta presupuesto xa mejorar</t>
  </si>
  <si>
    <t>La elección de horas por parte de los profesores, es muy injusta.
No hay suficientes  suplentes y faltan mucho los profesores.
Las instalaciones están deficiyarias, los sistemas de cantina también, pasan muchas horas y a veces no tienen donde descansar un poco y tomar alguna merienda dentro de la institución</t>
  </si>
  <si>
    <t>SERGIO ENRIQUE ALMEIDA</t>
  </si>
  <si>
    <t>59899259618</t>
  </si>
  <si>
    <t>Juvilado</t>
  </si>
  <si>
    <t>Y por que no a echo muchos cambios si no que con mesura va llevando el pais</t>
  </si>
  <si>
    <t>La va llevando bien</t>
  </si>
  <si>
    <t>Las que sean necesarias según los organismos</t>
  </si>
  <si>
    <t>Todabia Me.parece muy temprano</t>
  </si>
  <si>
    <t>Por que tienen los mismos derechos que un presidente hombre, y preparacion</t>
  </si>
  <si>
    <t>Me parece muy buena, y orgulloso de ser un país por tenerla</t>
  </si>
  <si>
    <t>Son muchos, pero ir de a poco es lo mejor</t>
  </si>
  <si>
    <t>CARLOS OLIVERA</t>
  </si>
  <si>
    <t>59898226741</t>
  </si>
  <si>
    <t>Educación Media Básica</t>
  </si>
  <si>
    <t>Porque si , respuesta personal nomás y hay que confiar en el presidente que se elige</t>
  </si>
  <si>
    <t>Es mi opinión, se hicieron cosas incorrectas y cosas correctas</t>
  </si>
  <si>
    <t>Se hicieron cosas incorrectas y cosas correctas</t>
  </si>
  <si>
    <t>No sabría decirte la verdad</t>
  </si>
  <si>
    <t>Por el momento no se bien a quien , pero si alguien del Frente</t>
  </si>
  <si>
    <t>Porque deberíamos probar alguien diferente y con otras capacidades y pensar</t>
  </si>
  <si>
    <t>Que está bien dentro de todo y que han implementado otros planes de estudio</t>
  </si>
  <si>
    <t>Ni idea , si lo hacen que sea algo para bien y que sea accesible para los estudiantes</t>
  </si>
  <si>
    <t>GERARDO PAEZ</t>
  </si>
  <si>
    <t>59899983322</t>
  </si>
  <si>
    <t>Construccion</t>
  </si>
  <si>
    <t>Siempre es difícil, levantar una empresa, si  los gerentes anteriores, hicieron todo lo posible por fundirla.</t>
  </si>
  <si>
    <t>Tendría que estar preso, nosotros los descalzos, si hubiéramos hecho el 10% de los actos de corrupción, mentiras e hipocresía que realizó, nos dan 15 años.</t>
  </si>
  <si>
    <t>Tendría que estar preso... actos de corrupción, mentiras e hipocresía</t>
  </si>
  <si>
    <t>Lo primero sería las personas en situación de calle, seguir invirtiendo en educación y mejorar la calidad de vida de los menos pudientes</t>
  </si>
  <si>
    <t>Después de las internas vemos.</t>
  </si>
  <si>
    <t>Hay mujeres que han demostrado, tener mejor currículum.</t>
  </si>
  <si>
    <t>Todo lo desmantelado por el gobierno anterior, ahora hay que mejorarlo.</t>
  </si>
  <si>
    <t>Reducir la cantidad de alumnos por docente, alimentación obligatoria en los centros educativos. Mejorar los conocimientos,</t>
  </si>
  <si>
    <t>LUIS EDMUNDO RIBAS ABALO</t>
  </si>
  <si>
    <t>59899883252</t>
  </si>
  <si>
    <t>San Jose</t>
  </si>
  <si>
    <t>Comunicador , Periodista Deportivo</t>
  </si>
  <si>
    <t>ha hecho cosas que sirven para el pais se mantiene el orde han mejorado los salarios el pais funciona y va en buen rumbosi demasiada estridencias y los conflictos internos al gobierno los ha sabido solucionar</t>
  </si>
  <si>
    <t>Gobierno de centro que no me gusta gobierna para el sector mas pudiente y no para la gente solo hizo una buena publicidad de lo poco que hizo</t>
  </si>
  <si>
    <t>Gobierno de centro... gobierna para el sector mas pudiente y no para la gente</t>
  </si>
  <si>
    <t>Seguir con el programa del Fa</t>
  </si>
  <si>
    <t>Porque tiene la capacidad de hacerlo , mujeres capaces para gobernar</t>
  </si>
  <si>
    <t>A última reforma fue pesima</t>
  </si>
  <si>
    <t>deberia cambiar   y direccionar a los tiempos que corren sin dejar  de lado la comunicación directa de los docentes con sus alumnos involucrar la sociedad con sus problemas y direccionar parte de la edución a los caminos cotidianos  agregar mas pueblo a la educación y preparar jovenes que piensen para mejorar la vida</t>
  </si>
  <si>
    <t>LAUREANO TABAREZ</t>
  </si>
  <si>
    <t>59899217847</t>
  </si>
  <si>
    <t xml:space="preserve"> Bueno, creo que fundamental por ejemplo, importante por lo menos, saber que hasta ahora no hay indicios de corrupción, de que no ha cometido errores por lo menos desde mi punto de vista o por lo menos que yo sepa, o por lo menos errores importantes, que capaz haya alguno que yo no lo se pero a grande rasgo digamos que se está comportando, ha tenido un comportamiento, un desarrollo normal y ya eso es más que suficiente. Hasta ahora las decisiones que ha tomado han sido, creo que lógicas y por lo menos no equivocadas, más de mi punto de vista.</t>
  </si>
  <si>
    <t xml:space="preserve"> Bueno, hubieron muchos episodios de corrupción, muchos, le faltó gravemente a sus promesas de campaña, por ejemplo, subir la edad para jubilarse, creo que fue fundamental, dijo que iban a subir los impuestos, las luz, el agua, dijo que iban a subir los combustibles, subieron el combustible muchísimo, creo que hasta el 50%, recuerdo 25%, fue bastante, me acuerdo porque ya se pisa la soil y estaban 40% más o menos y subieron hasta 60%. Y vieron, creo que muchas decisiones que no recuerdo ahora, pero también decisiones, por ejemplo, me jodió mucho, me dolió mucho que por ejemplo defendiera, o sea fuese con el senador que fue por violencia, por violación, no me acuerdo el apellido ahora, que fue preso diciendo que era amigo de él y para un simple ciudadano no, no lo conocía, bueno, entonces, va a defender siempre más a sus amigos que a sus ciudadanos y eso me molestó bastante. Y bueno, también el tema de que supuestamente rompió los temas de los chats, esas cosas, lo de la reunión en la casa de Prado, muchas cosas, muchas cositas chicas y grandes que me parece que, como él dijo al principio, yo iba a ser responsable de él, así que bueno, me parece que no tuvo un buen desempeño.</t>
  </si>
  <si>
    <t>Muchos episodios de corrupción... subió edad para jubilarse... subió impuestos y nafta...</t>
  </si>
  <si>
    <t xml:space="preserve"> creo que tiene que el tema del trabajo de la seguridad de la pobreza infantil estimular el trabajo bueno creo que lo que más pide la gente no seguridad trabajo creo que la salud de hecho muy bien va bien bien y bueno que empresas empresas extranjeras puedan invertir acá pero creo que fundamental por ahí es mantener siempre un diálogo que me pareció que la calle me olvidé decir que la calle no tuvo que hacer más grande la brecha entre uno y otro me parece que en este sentido el gobierno creo que está haciendo buen trabajo</t>
  </si>
  <si>
    <t xml:space="preserve"> creo que la calle Pó, por lo menos de la oposición en este momento la que oposición y de la izquierda no sé, tal vez puede ser el Pacha Sánchez, tal vez no estoy seguro, no estoy seguro tal vez la que era, no me acuerdo el apellido, la que era, la que estaba en Canal 10, que se nado en Blanca Rodríguez, puede ser, pero no veo nombres trascendentes, trascendentales no veo grandes nombres trascendentes en el sentido creo que después, bueno mi aire va a estar y creo que también por la guerra</t>
  </si>
  <si>
    <t>la calle Pó... tal vez puede ser el Pacha Sánchez... Blanca Rodríguez</t>
  </si>
  <si>
    <t xml:space="preserve"> Primero quiero decir que no veo el por qué estaría bien, o sea, no estaría mal, no estaría por qué estaría mal. Me parece bien, sí, por un tema también de mirada. Creo que la mujer puede, han hecho buenos gobiernos en diferentes países. Gobiernos aceptables y no tiene comparación, digo, pero yo me gustaría, sí, me gustaría, por supuesto que sí, quiero, sí, ojalá. Que se pueda dar y cambiar un poco la mirada esa de tan, este, de política tan, digamos, como quien dice que está mayormente ocupada por políticos de hombres, no? Creo que estaría, ojalá que se dé.</t>
  </si>
  <si>
    <t xml:space="preserve"> Sentimientos muy grandes, muy grandes. Yo valoro la educación pública, me parece que es lo mejor. Valoraciones de la más alta me parece que está... O sea, dependiendo del gobierno me parece que voy a defender siempre la institución, como institución pública, la educación. Tengo un gran sentimiento por maestros, maestras, por todo lo que nos represo. O sea, es como siempre se dijo, la segunda casa y nada. Vivo cerca de una cuadra de la escuela que fui y nada, sentimientos son totales, grandeza y todo lo mejor para la enseñanza pública en general y más que nada para la escuela.</t>
  </si>
  <si>
    <t xml:space="preserve"> Creo que mejorar el tema de la lalera. A la escuela rural me parece que darle más ayuda en todo aspecto, que tenga todos los recursos cubiertos, que no esté necesitado de nada. Me parece que hay que prestarles más atención, o sea, ir escuela por escuela de afuera, que tienen que ayudar más, porque hay mucha falta de materiales en algunas. Bueno, en fin, creo que las escuelas en total tienen que mejorar en cuanto al edificio en sí. Que haya aire condicionado, que las ventanas cierren bien. También tener el tema de las custodias de las escuelas que roban mucho. Podrían poner custodia, o sea, por lo menos, sereno, o algo de eso, en las escuelas, por lo menos las que tienen índice de robo. En ese sentido, parece que se puede mejorar bastante aún, más que nada, las escuelas rurales.</t>
  </si>
  <si>
    <t>ALBERTO FAVIAN MOREIRA</t>
  </si>
  <si>
    <t>59892649373</t>
  </si>
  <si>
    <t xml:space="preserve"> Y porque considero que un presidente tiene que tomar decisiones y que, bueno, está mucho más informado e interiorizado que nosotros para tomar decisiones. Entonces, por algo la mayoría lo eligió.</t>
  </si>
  <si>
    <t xml:space="preserve"> y porque creo que enfrentó situaciones complicadas como la pandemia y demás y lo hizo en buena forma este creo que fue un gobierno serio con sus aciertos y desaciertos pero fue un gobierno serio</t>
  </si>
  <si>
    <t>Enfrentó situaciones complicadas como la pandemia... gobierno serio con aciertos y desaciertos</t>
  </si>
  <si>
    <t xml:space="preserve"> Bueno, no sé las medidas, pero creo que el tema de flexibilizar impuestos y esas cosas que o por ejemplo teniendo en cuenta que hay una situación mundial con el tema del petróleo y todo eso y sabemos que sube el petróleo y sube todo, buscar la manera de encontrar soluciones para poder paliar situaciones que son complicadas a veces.</t>
  </si>
  <si>
    <t xml:space="preserve"> Bueno, yo creo que hay diferentes candidatos, más allá de que falta mucho para las elecciones, pero por ejemplo yo creo que en la oposición hay varios candidatos que podrían ser fuertes, y en el mismo la calle también, y por parte del gobierno creo que también tiene, a mí me gusta, siempre me gustó Michellini, pero no sé si se le dará la chance de poder ser candidato del Frente Amplio.</t>
  </si>
  <si>
    <t>Michellini... candidato del Frente Amplio.</t>
  </si>
  <si>
    <t xml:space="preserve"> Porque como te dije al principio, creo que hay mujeres que perfectamente pueden calzar como personas que integren la presidencia, hay mujeres que son muy capaces.</t>
  </si>
  <si>
    <t xml:space="preserve"> Y es una cuenta pendiente, porque uno ve los resultados. La educación en este país, la verdad, está peor, en mi punto de vista. No es como era antes, tal vez, cuando nosotros estudiábamos, por ejemplo. Han cambiado las metodologías, yo creo que la computadora, si bien fue una herramienta, creo que se está usando mal de cierta forma. También el uso, que no tendría que pasar, pero pasa, el uso de celulares como alternativa de lo que son las aivalitas, por ejemplo. Parece que no, no. Habría que echarle mano a la educación, si hubiera dudas.</t>
  </si>
  <si>
    <t xml:space="preserve"> Y como dije en el audio anterior, creo que el tema de la práctica, o sea, más lectura, más uso de escritura, en este desarrollo en ese sentido, porque los niños manejan un celular y una computadora, había adolescentes y estudiantes, con una facilidad que no es lo mismo que el usar la mente o el desarrollo de la parte intelectual que hacíamos nosotros en su momento cuando estudiábamos, no usábamos nunca computadora ni celular ni nada, sea cuadernos, lápiz y escribir, eso me parece, y leer mucho, los niños no saben expresarse hoy, los adolescentes tampoco, no saben expresarse, no saben comunicar nada, la gran parte de ellos, entonces la educación es un desastre.</t>
  </si>
  <si>
    <t>"</t>
  </si>
  <si>
    <t>Porque las propuestas o los principios en que se fundamentaba la campaña electoral y que se haría en realidad una vez conquistado el gobierno, no se cumplen. Si hablamos de seguridad, si hablamos de educación, si hablamos de gente en situación de calle, si hablamos de pobreza, el MIDE se está trabajando muy mal, la pobreza va a ser difícil combatirla si solamente se trata de erogaciones a favor de quienes están en esa situación, valga la redundancia, pero no para inducirlos a mirar nuevos horizontes, a proyectar, a formarse. Entonces no es aprobable este gobierno.</t>
  </si>
  <si>
    <t>(</t>
  </si>
  <si>
    <t>Mujer Interior Coalición CM oposicion_cerril</t>
  </si>
  <si>
    <t>)</t>
  </si>
  <si>
    <t>Hombre Montevideo CM oposicion_abierta</t>
  </si>
  <si>
    <t>Mujer Montevideo CM oposicion_abierta</t>
  </si>
  <si>
    <t>Hombre Montevideo FA oficialista_abierto</t>
  </si>
  <si>
    <t xml:space="preserve">Mujer Canelones FA </t>
  </si>
  <si>
    <t>Mujer Canelones FA dialoguista</t>
  </si>
  <si>
    <t>Falta la pregunta del formulario</t>
  </si>
  <si>
    <t>Lo arrelgé en la siguiente hoja</t>
  </si>
  <si>
    <t>Están las categorías confundidas.</t>
  </si>
  <si>
    <t>Falta la tabla con %. Si bien no los usamos para el informe sirve para la lectura.</t>
  </si>
  <si>
    <t xml:space="preserve">Agregaría el total en el gráfico. </t>
  </si>
  <si>
    <t>Segmento</t>
  </si>
  <si>
    <t>Voto</t>
  </si>
  <si>
    <t>Total</t>
  </si>
  <si>
    <t>Pensando en el desempeño que ha tenido hasta el momento el Presidente Yamandú Orsi ¿Ud…</t>
  </si>
  <si>
    <t>Total Marzo 2025</t>
  </si>
  <si>
    <t>Orsi 2025</t>
  </si>
  <si>
    <t>Orsi 2026</t>
  </si>
  <si>
    <t>Lacalle 2025</t>
  </si>
  <si>
    <t>Lacalle 2026</t>
  </si>
  <si>
    <t>Las celdas combinadas complican.</t>
  </si>
  <si>
    <t>clasificacion general q2_0</t>
  </si>
  <si>
    <t>definicion</t>
  </si>
  <si>
    <t>cita ejemplificadora</t>
  </si>
  <si>
    <t>APOYO DESAPROBACION GENERICA</t>
  </si>
  <si>
    <t>Valoración global del desempeño de Orsi sin motivo temático específico. [INCLUYE] Respuestas que aprueban o desaprueban en términos generales sin explicar por qué de forma temática. [EXCLUYE] Respuestas que mencionan de forma clara promesas, ritmo de gestión, liderazgo, comunicación, atributos personales, áreas de política o contexto temporal.</t>
  </si>
  <si>
    <t>"Porque está realizando un exelente trabajo"</t>
  </si>
  <si>
    <t>[DEF] Evaluación del desempeño en función del cumplimiento o incumplimiento de promesas, compromisos de campaña o expectativas previas. [INCLUYE] Respuestas que mencionan campaña, programa, promesas, expectativas o contradicción respecto de lo prometido. [EXCLUYE] Respuestas centradas solo en resultados actuales, lentitud o valoración general sin referencia a lo prometido o esperado.</t>
  </si>
  <si>
    <t>"No logro hacer nada de lo que dijo"</t>
  </si>
  <si>
    <t>[DEF] Juicio sobre la velocidad, intensidad o visibilidad de la acción gubernamental. [INCLUYE] Respuestas que hablan de lentitud, tibieza, poca acción o ausencia de resultados visibles. [EXCLUYE] Respuestas centradas en mando político, atributos personales o resultados sectoriales concretos como eje principal.</t>
  </si>
  <si>
    <t>"Veo poca acción en el gobierno, se necesita más movimiento"</t>
  </si>
  <si>
    <t>[DEF] Evaluación de la capacidad para mandar, conducir, marcar rumbo o ejercer autoridad política. [INCLUYE] Respuestas que mencionan mando, autoridad, conducción, rumbo o influencia de otros sobre el presidente. [EXCLUYE] Respuestas referidas principalmente a estilo comunicacional, simpatía personal o resultados de áreas específicas.</t>
  </si>
  <si>
    <t>"El Presidente tiene que mandar. Y no se ve que mande."</t>
  </si>
  <si>
    <t>COMUNICACION/ PROTAGONISMO</t>
  </si>
  <si>
    <t>[DEF] Evaluación de cómo Orsi se comunica, se muestra públicamente, dialoga o ocupa la escena pública. [INCLUYE] Respuestas que aluden a diálogo, cercanía, perfil público, imagen o presencia comunicacional. [EXCLUYE] Respuestas sobre autoridad interna, ejecución de políticas o rasgos personales no ligados a exposición pública.</t>
  </si>
  <si>
    <t>"Mantiene un estilo de diálogo, cercanía con la gente"</t>
  </si>
  <si>
    <t>[DEF] Evaluación basada en rasgos personales o disposiciones del presidente como compromiso, responsabilidad, coherencia o incapacidad. [INCLUYE] Respuestas que evalúan al presidente por cómo es o cómo actúa personalmente. [EXCLUYE] Respuestas centradas en liderazgo institucional, promesas, comunicación pública o resultados de gestión concretos.</t>
  </si>
  <si>
    <t>"Porque hasta ahora es quien se ha comprometido"</t>
  </si>
  <si>
    <t>[DEF] Evaluación fundamentada en el desempeño o resultados de áreas concretas de gobierno. [INCLUYE] Respuestas que nombran sectores o problemas concretos como economía, empleo, seguridad, salud, educación, impuestos o tarifas. [EXCLUYE] Respuestas generales sin referencia sectorial o cuyo eje principal sea promesas, liderazgo o ritmo.</t>
  </si>
  <si>
    <t>"Estamos peor en Seguridad en Educación en Salud"</t>
  </si>
  <si>
    <t>[DEF] Evaluación que combina explícitamente elementos positivos y negativos en una postura ambivalente o mixta. [INCLUYE] Respuestas que presentan de forma explícita pros y contras como base central del argumento. [EXCLUYE] Respuestas con orientación claramente dominante hacia un lado, aunque incluyan una mención secundaria menor.</t>
  </si>
  <si>
    <t>"Ha hecho cosas buenas pero en muchos aspectos lo veo flojo"</t>
  </si>
  <si>
    <t>[DEF] Explicación del desempeño actual en función de la situación heredada del gobierno anterior. [INCLUYE] Respuestas que mencionan herencia, situación recibida o problemas previos que condicionan la gestión actual. [EXCLUYE] Respuestas sobre problemas actuales que no se vinculan explícitamente con herencia o punto de partida.</t>
  </si>
  <si>
    <t>"Encontrar el país con números mucho peores"</t>
  </si>
  <si>
    <t>[DEF] Moderación o suspensión de la evaluación porque el gobierno recién empezó o pasó poco tiempo. [INCLUYE] Respuestas cuya razón principal para no definir una evaluación más firme es la cercanía temporal del inicio de gestión. [EXCLUYE] Respuestas que ya formulan un juicio sustantivo claro sin depender del argumento temporal.</t>
  </si>
  <si>
    <t>"Recién hace 1 año, tengo mucha fe"</t>
  </si>
  <si>
    <t>[DEF] Evaluación cuya justificación principal es la afinidad o el rechazo partidario, ideológico o identitario respecto de Orsi o su fuerza política. [INCLUYE] Respuestas que se fundamentan ante todo en cercanía o rechazo político-partidario o ideológico. [EXCLUYE] Respuestas que usan referencias políticas pero desarrollan principalmente argumentos de gestión concreta.</t>
  </si>
  <si>
    <t>"Nunca me gustó el Frente"</t>
  </si>
  <si>
    <t>[DEF] Respuesta que no permite codificación temática sustantiva por falta de información, desinterés o imposibilidad de interpretación. [INCLUYE] Respuestas donde la persona dice no saber, no estar informada, no interesarse o la respuesta es ininterpretable. [EXCLUYE] Respuestas breves pero semánticamente claras con un motivo sustantivo identificable.</t>
  </si>
  <si>
    <t>"Porque no estoy informada de su gestión"</t>
  </si>
  <si>
    <t>APOYO / DESAPROBACION GENERICA</t>
  </si>
  <si>
    <t>Subcodigo</t>
  </si>
  <si>
    <t>Definicion</t>
  </si>
  <si>
    <t>Cita ejemplificadora</t>
  </si>
  <si>
    <t>[DEF] Aprobacion global sin fundamento especifico. [INCLUYE] Respuestas que expresan aprobacion amplia sin razon tematica clara. [EXCLUYE] Respuestas positivas basadas en promesas, liderazgo, comunicacion, atributos personales o areas concretas.</t>
  </si>
  <si>
    <t>[DEF] Desaprobacion global sin fundamento especifico. [INCLUYE] Respuestas que expresan rechazo amplio sin razon tematica clara. [EXCLUYE] Respuestas negativas basadas en promesas, lentitud, liderazgo, atributos personales o areas concretas.</t>
  </si>
  <si>
    <t>Mala gestion</t>
  </si>
  <si>
    <t>TOTAL</t>
  </si>
  <si>
    <t>[DEF] Postura vaga o ambigua sin motivo claro. [INCLUYE] Respuestas evaluativas pero demasiado vagas para asignar otro subcodigo. [EXCLUYE] Respuestas con balance explicito o con un motivo claro identificable.</t>
  </si>
  <si>
    <t>No ha estado ni mal ni bien</t>
  </si>
  <si>
    <t>[DEF] Afirmacion de que esta cumpliendo o avanzando en lo prometido. [INCLUYE] Respuestas donde la aprobacion se apoya en que cumple o intenta cumplir lo prometido. [EXCLUYE] Respuestas positivas que elogian resultados sin referencia a promesas o compromisos previos.</t>
  </si>
  <si>
    <t>Se esta cumpliendo lo prometido lento pero firme</t>
  </si>
  <si>
    <t>[DEF] Afirmacion de que no cumplio o actuo en contradiccion con lo prometido. [INCLUYE] Respuestas donde la critica se formula como incumplimiento o contradiccion respecto de lo esperado. [EXCLUYE] Respuestas criticas sobre lentitud o malos resultados sin mencion a promesas o expectativas previas.</t>
  </si>
  <si>
    <t>muchas cosas que prometieron no veo que las cumplan</t>
  </si>
  <si>
    <t>expectativa en suspenso</t>
  </si>
  <si>
    <t>[DEF] Imposibilidad de decidir aun si cumple o no porque el proceso sigue abierto. [INCLUYE] Respuestas que dejan abierta la evaluacion futura del cumplimiento. [EXCLUYE] Respuestas que ya afirman claramente cumplimiento o incumplimiento.</t>
  </si>
  <si>
    <t>no significa que no vaya a terminar bien</t>
  </si>
  <si>
    <t>[DEF] Gestion lenta, tibia o de baja intensidad. [INCLUYE] Respuestas con terminos como tibio, lento, flojo, planchado o sin impulso. [EXCLUYE] Respuestas que afirman ausencia total de accion o que se concentran en falta de rumbo.</t>
  </si>
  <si>
    <t>[DEF] Afirmacion de que no hace nada o casi nada. [INCLUYE] Respuestas que sostienen falta total o casi total de accion. [EXCLUYE] Respuestas que reconocen acciones pero las juzgan lentas o insuficientes.</t>
  </si>
  <si>
    <t>No hizo nada por el pais</t>
  </si>
  <si>
    <t>[DEF] Ausencia de cambios, efectos o logros concretos observables. [INCLUYE] Respuestas donde la persona dice que no ve cambios ni resultados claros. [EXCLUYE] Respuestas cuya critica central es que va lento o que no actua.</t>
  </si>
  <si>
    <t>No he notado nada trascendente en la gestion</t>
  </si>
  <si>
    <t>[DEF] Comparacion temporal que afirma que la gestion ahora es mas activa que al comienzo. [INCLUYE] Respuestas que contrastan un inicio debil con un presente mas activo. [EXCLUYE] Respuestas sin contraste temporal explicito.</t>
  </si>
  <si>
    <t>recien ahora se ve un poco mas activo</t>
  </si>
  <si>
    <t>[DEF] Conductor con autoridad, control y capacidad de mando efectiva. [INCLUYE] Respuestas que destacan mando, conduccion o control politico. [EXCLUYE] Respuestas que elogian cercania, moderacion o imagen publica sin referencia al mando.</t>
  </si>
  <si>
    <t>se ha desempenado como corresponde</t>
  </si>
  <si>
    <t>[DEF] Presidente ausente, desdibujado, sin autoridad o sin capacidad de mando. [INCLUYE] Respuestas cuya critica se centra en que no manda o no conduce. [EXCLUYE] Respuestas sobre lentitud o sobre perfil comunicacional si no refieren a conduccion.</t>
  </si>
  <si>
    <t>no se ve que mande</t>
  </si>
  <si>
    <t>[DEF] Ausencia de plan, orientacion o direccion clara. [INCLUYE] Respuestas que mencionan improvisacion, ausencia de plan o falta de rumbo. [EXCLUYE] Respuestas donde la critica es solo que hace poco o que comunica mal.</t>
  </si>
  <si>
    <t>[DEF] Otros actores conducen o influyen mas que el presidente. [INCLUYE] Respuestas que atribuyen explicitamente la conduccion a otros actores del gobierno o del entorno politico. [EXCLUYE] Respuestas sobre liderazgo debil sin mencion a terceros concretos.</t>
  </si>
  <si>
    <t>Mas bien es un triunvirato con Pacha Sanchez y Diaz</t>
  </si>
  <si>
    <t>COMUNICACION PROTAGONISMO</t>
  </si>
  <si>
    <t>[DEF] Valoracion positiva de la cercania, escucha o disposicion al dialogo con la gente. [INCLUYE] Respuestas que destacan dialogo, escucha, cercania o vinculo con la ciudadania. [EXCLUYE] Respuestas sobre autoridad, capacidad tecnica o resultados de gestion.</t>
  </si>
  <si>
    <t>cercania con la gente</t>
  </si>
  <si>
    <t>[DEF] Valoracion positiva del perfil, tono o presencia mediatica del presidente. [INCLUYE] Respuestas que aluden a como se muestra o proyecta en publico de forma positiva. [EXCLUYE] Respuestas sobre cercania personal, conduccion politica o atributos no ligados a exposicion publica.</t>
  </si>
  <si>
    <t>es un gobierno coherente</t>
  </si>
  <si>
    <t>[DEF] Critica a la exposicion, forma de comunicar o imagen publica del presidente. [INCLUYE] Respuestas que critican como aparece o se comunica en publico. [EXCLUYE] Respuestas centradas en liderazgo institucional o en resultados de areas de gobierno.</t>
  </si>
  <si>
    <t>se esta viendo mal su imagen</t>
  </si>
  <si>
    <t>bajo protagonismo</t>
  </si>
  <si>
    <t>[DEF] Escasa visibilidad o debil presencia presidencial en la escena publica. [INCLUYE] Respuestas que marcan poco protagonismo o visibilidad publica del presidente. [EXCLUYE] Respuestas sobre falta de mando o autoridad interna si no refieren a visibilidad publica.</t>
  </si>
  <si>
    <t>se lo escucha mas ahora</t>
  </si>
  <si>
    <t>[DEF] Valoracion por dedicacion, responsabilidad, esfuerzo o involucramiento personal. [INCLUYE] Respuestas que valoran esfuerzo, compromiso o responsabilidad personal del presidente. [EXCLUYE] Respuestas que elogian liderazgo, comunicacion o cumplimiento de promesas.</t>
  </si>
  <si>
    <t>se ha comprometido</t>
  </si>
  <si>
    <t>[DEF] Valoracion por moderacion, coherencia, razonabilidad o equilibrio personal. [INCLUYE] Respuestas que destacan razonabilidad, coherencia o moderacion como cualidad personal. [EXCLUYE] Respuestas sobre dialogo o cercania si no enfatizan rasgos de juicio o criterio personal.</t>
  </si>
  <si>
    <t>todo lo que ha hecho es razonable</t>
  </si>
  <si>
    <t>[DEF] Critica por falta de compromiso, irresponsabilidad o distraccion en el ejercicio del cargo. [INCLUYE] Respuestas que atribuyen el problema a falta de seriedad o compromiso personal. [EXCLUYE] Respuestas sobre incapacidad tecnica o simple falta de accion sin atribucion actitudinal.</t>
  </si>
  <si>
    <t>No tanto viaje y mas darle para adelante</t>
  </si>
  <si>
    <t>[DEF] Juicio de insuficiencia de aptitud o competencia para ejercer el cargo. [INCLUYE] Respuestas que presentan al presidente como incapaz, inepto o sin condiciones para el cargo. [EXCLUYE] Respuestas que critican voluntad, compromiso o liderazgo sin afirmar falta de capacidad.</t>
  </si>
  <si>
    <t>no tiene idea donde esta parado</t>
  </si>
  <si>
    <t>TOTAL GENERAL</t>
  </si>
  <si>
    <t>[DEF] Evaluacion centrada en precios, impuestos, tarifas, combustibles o costo de vida. [INCLUYE] Respuestas que tratan ingresos, costo de vida, tarifas o impuestos como tema principal. [EXCLUYE] Respuestas centradas en empleo, seguridad, salud o educacion como tema dominante.</t>
  </si>
  <si>
    <t>Sube impuestos</t>
  </si>
  <si>
    <t>empleo y trabajo</t>
  </si>
  <si>
    <t>[DEF] Evaluacion centrada en empleo, desempleo, puestos de trabajo o actividad laboral. [INCLUYE] Respuestas que mencionan desempleo, empresas, cierres o trabajo como tema principal. [EXCLUYE] Respuestas sobre economia general sin foco explicito en el mercado laboral.</t>
  </si>
  <si>
    <t>mas gente desocupada</t>
  </si>
  <si>
    <t>[DEF] Evaluacion centrada en delincuencia, homicidios, robos, drogas o inseguridad publica. [INCLUYE] Respuestas que mencionan delito, homicidios, robos o drogas como tema principal. [EXCLUYE] Respuestas sobre justicia, corrupcion o derechos si no tienen seguridad cotidiana como eje.</t>
  </si>
  <si>
    <t>La delincuencia sigue en aumento</t>
  </si>
  <si>
    <t>[DEF] Evaluacion centrada en salud, educacion, politicas sociales o bienestar colectivo. [INCLUYE] Respuestas que se refieren a salud, educacion o politicas sociales como tema principal. [EXCLUYE] Respuestas centradas en economia, empleo o seguridad como area dominante.</t>
  </si>
  <si>
    <t>mejorar politicas sociales</t>
  </si>
  <si>
    <t>[DEF] Combinacion relativamente simetrica de elementos positivos y negativos. [INCLUYE] Respuestas donde ni lo positivo ni lo negativo domina claramente el sentido global. [EXCLUYE] Respuestas donde predomina claramente una valoracion positiva o negativa.</t>
  </si>
  <si>
    <t>[DEF] Evaluacion mayormente favorable que incorpora reparos relevantes. [INCLUYE] Respuestas cuya evaluacion principal es positiva pero contiene limites explicitos. [EXCLUYE] Respuestas totalmente positivas o donde la critica domina el sentido general.</t>
  </si>
  <si>
    <t>su gestion no es perfecta valoro lo que ha hecho</t>
  </si>
  <si>
    <t>[DEF] Evaluacion mayormente critica que reconoce algun aspecto rescatable o deja abierta una mejora futura. [INCLUYE] Respuestas cuya evaluacion principal es negativa aunque no absoluta. [EXCLUYE] Respuestas plenamente negativas sin matices o donde predomina claramente lo positivo.</t>
  </si>
  <si>
    <t>no creo desaprobar porque lo que paso hasta ahora no significa que no vaya a terminar bien</t>
  </si>
  <si>
    <t>[DEF] Justificacion de dificultades actuales por el mal estado en que se recibio el pais. [INCLUYE] Respuestas que atribuyen parte de la situacion actual a lo recibido del gobierno anterior. [EXCLUYE] Respuestas que solo evaluan problemas presentes sin vinculacion al punto de partida.</t>
  </si>
  <si>
    <t>encontrar el pais con numeros mucho peores</t>
  </si>
  <si>
    <t>[DEF] Afirmacion de que el gobierno esta ordenando o corrigiendo problemas heredados. [INCLUYE] Respuestas que dicen que esta enderezando o corrigiendo lo heredado del gobierno anterior. [EXCLUYE] Respuestas que solo mencionan herencia sin señalar una accion correctiva actual.</t>
  </si>
  <si>
    <t>Esta enderezando el pais</t>
  </si>
  <si>
    <t>[DEF] Suspension del juicio por insuficiencia de tiempo transcurrido. [INCLUYE] Respuestas que postergan la evaluacion por falta de tiempo transcurrido. [EXCLUYE] Respuestas donde la referencia temporal es secundaria frente a un juicio sustantivo ya claro.</t>
  </si>
  <si>
    <t>[DEF] El inicio reciente del mandato como explicacion principal. [INCLUYE] Respuestas que mencionan explicitamente que recien empezo o asumio hace poco. [EXCLUYE] Respuestas que aluden al tiempo pero no especificamente al inicio del mandato.</t>
  </si>
  <si>
    <t>Recien hace 1 ano</t>
  </si>
  <si>
    <t>[DEF] Rechazo al partido, coalicion o espacio politico de Orsi como motivo principal. [INCLUYE] Respuestas cuyo nucleo argumental es el rechazo politico-partidario. [EXCLUYE] Respuestas con critica de gestion concreta aunque incluyan una referencia partidaria secundaria.</t>
  </si>
  <si>
    <t>Nunca me gusto el Frente</t>
  </si>
  <si>
    <t>adhesion politica partidaria</t>
  </si>
  <si>
    <t>[DEF] Afinidad con su partido, espacio o proyecto politico como motivo principal. [INCLUYE] Respuestas cuyo nucleo argumental es la identificacion politica con Orsi o su fuerza. [EXCLUYE] Respuestas que apoyan por razones de gestion concreta aunque exista cercania politica.</t>
  </si>
  <si>
    <t>Soy votante de su partido</t>
  </si>
  <si>
    <t>[DEF] Desacuerdo con la orientacion politica o ideologica general como motivo principal. [INCLUYE] Respuestas que rechazan el proyecto politico por su orientacion ideologica. [EXCLUYE] Respuestas que se limitan a simpatia o rechazo partidario sin contenido ideologico claro.</t>
  </si>
  <si>
    <t>Es un presidente que no elegi</t>
  </si>
  <si>
    <t>[DEF] Declaracion explicita de desconocimiento o falta de elementos para evaluar. [INCLUYE] Respuestas donde la persona declara desconocimiento o insuficiencia informativa. [EXCLUYE] Respuestas con informacion escasa pero tematicamente interpretable.</t>
  </si>
  <si>
    <t>[DEF] Abstencion evaluativa por falta de interes, no por falta de informacion. [INCLUYE] Respuestas donde la persona dice que no le importa o no sigue el tema por desinteres. [EXCLUYE] Respuestas donde la persona solo expresa desconocimiento sin mencion de desinteres.</t>
  </si>
  <si>
    <t>[DEF] Respuesta vacia, fragmentaria, erratica o imposible de clasificar con confianza razonable. [INCLUYE] Respuestas que no permiten inferir una razon sustantiva con confianza. [EXCLUYE] Respuestas breves pero semanticamente claras que expresan un motivo identificable.</t>
  </si>
  <si>
    <t>Dimensión</t>
  </si>
  <si>
    <t>Código</t>
  </si>
  <si>
    <t>Etiqueta de Categoría</t>
  </si>
  <si>
    <t>Descripción / Ejemplos</t>
  </si>
  <si>
    <t>APROBACIÓN</t>
  </si>
  <si>
    <t>Perfil y Estilo de Liderazgo</t>
  </si>
  <si>
    <t>Menciones a honestidad, seriedad, diálogo, cercanía, moderación o "cordura".</t>
  </si>
  <si>
    <t>Cumplimiento de Promesas</t>
  </si>
  <si>
    <t>Percepción de que se cumple el programa (aunque sea lento).</t>
  </si>
  <si>
    <t>Gestión Económica Positiva</t>
  </si>
  <si>
    <t>Baja inflación, recuperación salarial, nuevos empleos, cuidado del gasto público.</t>
  </si>
  <si>
    <t>Inserción Internacional</t>
  </si>
  <si>
    <t>Valoración de viajes comerciales (China), apertura de mercados y presencia exterior.</t>
  </si>
  <si>
    <t>Justificación por Herencia</t>
  </si>
  <si>
    <t>Atribuye dificultades al estado en que dejó el país el gobierno anterior.</t>
  </si>
  <si>
    <t>Avances en Seguridad / Planes</t>
  </si>
  <si>
    <t>Menciones al Plan de Seguridad, cámaras o combate al delito.</t>
  </si>
  <si>
    <t>Confianza Institucional / Voto</t>
  </si>
  <si>
    <t>Apoyo por el cargo ("es el presidente") o por haberlo votado.</t>
  </si>
  <si>
    <t>NEUTRO / OTROS</t>
  </si>
  <si>
    <t>Factor Tiempo</t>
  </si>
  <si>
    <t>Argumentos de que lleva poco tiempo (1 año) o es prematuro evaluar.</t>
  </si>
  <si>
    <t>Ambivalencia (Claroscuros)</t>
  </si>
  <si>
    <t>Identifica equilibrio entre cosas buenas y malas; "ni bien ni mal".</t>
  </si>
  <si>
    <t>Falta de Información / NS-NC</t>
  </si>
  <si>
    <t>Declaración de no estar informado, no saber o no contestar.</t>
  </si>
  <si>
    <t>Inacción / Nada Trascendente</t>
  </si>
  <si>
    <t>Sensación de que el gobierno está "planchado" o no ha hecho nada importante.</t>
  </si>
  <si>
    <t>Descreimiento Político</t>
  </si>
  <si>
    <t>Actitud de apatía o desconfianza general hacia toda la política.</t>
  </si>
  <si>
    <t>DESAPROBACIÓN</t>
  </si>
  <si>
    <t>Falta de Liderazgo / "Tibieza"</t>
  </si>
  <si>
    <t>Críticas por falta de mando, ser "marioneta", indeciso o desdibujado.</t>
  </si>
  <si>
    <t>Incumplimiento / Mentira</t>
  </si>
  <si>
    <t>Críticas directas a promesas de campaña no realizadas o "mentiras".</t>
  </si>
  <si>
    <t>Crisis Económica / Tarifas</t>
  </si>
  <si>
    <t>Críticas por suba de impuestos, combustibles, desempleo o costo de vida.</t>
  </si>
  <si>
    <t>Inseguridad y Narcotráfico</t>
  </si>
  <si>
    <t>Percepción de aumento de delitos, homicidios o falta de plan de seguridad.</t>
  </si>
  <si>
    <t>Gestión Social / MIDES</t>
  </si>
  <si>
    <t>Crítica por pobreza, gente en situación de calle o mal funcionamiento del MIDES.</t>
  </si>
  <si>
    <t>Ausentismo / Viajes</t>
  </si>
  <si>
    <t>Críticas por "pasear", viajar mucho o no estar presente en el país.</t>
  </si>
  <si>
    <t>Sesgo Ideológico / Partidario</t>
  </si>
  <si>
    <t>Rechazo basado en el partido (FA) o por no haberlo elegido personalmente.</t>
  </si>
  <si>
    <t>Crítica Estructural (Izquierda)</t>
  </si>
  <si>
    <t>Críticas por ser "de centro", "derechizado" o no ser "antimperialista".</t>
  </si>
  <si>
    <t>Ahora, pensando en el desempeño del anterior Presidente Luis Lacalle Pou ¿Ud…</t>
  </si>
  <si>
    <t>clasificacion general q4_0</t>
  </si>
  <si>
    <t>[DEF] Valoracion global del desempe?o sin motivo tematico identificable. [INCLUYE] Respuestas como 'buena gestion', 'mala gestion', 'regular', 'ni bien ni mal', solo cuando no agregan ningun contenido tematico reconocible. [EXCLUYE] Cualquier respuesta que mencione pandemia / crisis, promesas, cumplimiento, resultados, medidas, leyes, reformas, escandalos, corrupcion, acomodos, Marset, Astesiano, atributos personales o liderazgo.</t>
  </si>
  <si>
    <t>Buena gestion</t>
  </si>
  <si>
    <t>[DEF] Evaluacion basada en episodios, escandalos, irregularidades o practicas atribuidas al gobierno como estructura politica. [INCLUYE] Corrupcion, hechos turbios, acomodos, Marset, Astesiano, pasaporte, destruccion de documentos, compras directas, escandalos. [EXCLUYE] Juicios sobre Lacalle Pou como persona cuando no remiten a un hecho del gobierno.</t>
  </si>
  <si>
    <t>El gobierno estuvo manchado por sucesos turbios</t>
  </si>
  <si>
    <t>[DEF] Evaluacion cuyo motivo principal es el manejo de la pandemia o de un contexto critico excepcional. [INCLUYE] Referencias a COVID, pandemia, sequia, crisis y su gestion. [EXCLUYE] Menciones laterales a la pandemia cuando el motivo central es otro.</t>
  </si>
  <si>
    <t>Le toco bailar con la mas fea y salio bastante bien</t>
  </si>
  <si>
    <t>[DEF] Evaluacion centrada en leyes, reformas, medidas o decisiones concretas de gobierno. [INCLUYE] LUC, reforma jubilatoria, reforma educativa u otras medidas explicitamente mencionadas. [EXCLUYE] Referencias generales a promesas o resultados sin una medida concreta identificable.</t>
  </si>
  <si>
    <t>Arranco con la LUC y no me parecio una buena forma de gobernar</t>
  </si>
  <si>
    <t>[DEF] Evaluacion centrada en si cumplio lo prometido, logro resultados o produjo cambios visibles. [INCLUYE] Promesas, cumplimiento, incumplimiento, no hizo nada, no vi mejoras, resultados insuficientes. [EXCLUYE] Respuestas centradas en una medida puntual, una crisis o un escandalo del gobierno.</t>
  </si>
  <si>
    <t>Prometio mucho y no cumplio</t>
  </si>
  <si>
    <t>[DEF] Evaluacion de la capacidad para mandar, conducir, marcar rumbo o ejercer autoridad politica. [INCLUYE] Referencias a firmeza, tibieza, mando, rumbo, mano firme, capacidad de conducir. [EXCLUYE] Rasgos personales sin dimension de mando.</t>
  </si>
  <si>
    <t>[DEF] Juicio sobre Lacalle Pou como persona o figura publica, referido a su actitud, estilo, compromiso o vinculo con la gente. [INCLUYE] Responsable, comprometido, figureti, alejado, no representa, cercano. [EXCLUYE] Escandalos o hechos del gobierno, medidas concretas y liderazgo como capacidad de mando.</t>
  </si>
  <si>
    <t>Se lo veia 100 por ciento comprometido con el cargo</t>
  </si>
  <si>
    <t>[DEF] Aprobacion general sin motivo tematico especifico. [INCLUYE] Elogios globales del desempeno. [EXCLUYE] Elogios basados en pandemia, cumplimiento, medidas, liderazgo o atributos personales.</t>
  </si>
  <si>
    <t>Buena gestion, responsable</t>
  </si>
  <si>
    <t>[DEF] Desaprobacion general sin motivo tematico especifico. [INCLUYE] Criticas globales a la gestion sin desarrollo tematico. [EXCLUYE] Criticas basadas en hechos del gobierno, incumplimientos, crisis, liderazgo o atributos personales.</t>
  </si>
  <si>
    <t>Fue un desastre</t>
  </si>
  <si>
    <t>[DEF] Evaluacion ambivalente o indefinida sin motivo tematico especifico. [INCLUYE] Respuestas del tipo 'cosas buenas y malas', 'ni bien ni mal', cuando no desarrollan un tema concreto. [EXCLUYE] Balances centrados en pandemia, resultados, medidas u otras dimensiones especificas.</t>
  </si>
  <si>
    <t>Tambien tuvo cosas buenas y malas</t>
  </si>
  <si>
    <t>[DEF] Critica centrada en corrupcion, ilegalidad o maniobras impropias del gobierno. [INCLUYE] Acusaciones directas de corrupcion o irregularidades. [EXCLUYE] Sospechas vagas sin afirmacion clara.</t>
  </si>
  <si>
    <t>Asquerosamente corrupto</t>
  </si>
  <si>
    <t>[DEF] Critica centrada en hechos que danan la legitimidad o la imagen del gobierno aunque no se describa un delito preciso. [INCLUYE] Escandalos, episodios turbios, crisis institucionales. [EXCLUYE] Juicios puramente personales sobre Lacalle Pou.</t>
  </si>
  <si>
    <t>Lo de Astesiano y Marset fue gravisimo</t>
  </si>
  <si>
    <t>[DEF] Critica centrada en privilegios, acomodos o beneficios a cercanos. [INCLUYE] Trato preferencial, acomodos, beneficios selectivos. [EXCLUYE] Corrupcion general sin referencia a privilegio o favoritismo.</t>
  </si>
  <si>
    <t>Hubo acomodos y situaciones turbias</t>
  </si>
  <si>
    <t>[DEF] Referencia dubitativa a hechos oscuros o falta de transparencia sin afirmacion cerrada. [INCLUYE] Dudas, sospechas, recuerdos imprecisos de episodios turbios. [EXCLUYE] Denuncias categoricas de corrupcion o irregularidades.</t>
  </si>
  <si>
    <t>Creo que fue en su gobierno lo del pasaporte a Marset</t>
  </si>
  <si>
    <t>[DEF] Aprobacion del manejo de la pandemia o crisis. [INCLUYE] Respuestas que valoran como gestiono la crisis. [EXCLUYE] Respuestas que solo mencionan el contexto dificil sin evaluar el manejo.</t>
  </si>
  <si>
    <t>[DEF] Aprobacion o atenuacion positiva basada en que le toco gobernar en una situacion especialmente dificil. [INCLUYE] Respuestas donde la dificultad del contexto justifica la evaluacion favorable. [EXCLUYE] Elogios centrados en medidas concretas de manejo.</t>
  </si>
  <si>
    <t>(NEG) manejo negativo de crisis</t>
  </si>
  <si>
    <t>[DEF] Critica directa al manejo de la pandemia o crisis. [INCLUYE] Cuestionamientos a vacunacion, aislamiento, ayudas, muertes o decisiones tomadas. [EXCLUYE] Respuestas que reconocen el contexto dificil pero critican otro aspecto como motivo central.</t>
  </si>
  <si>
    <t>No me gusto como manejo la pandemia</t>
  </si>
  <si>
    <t>[DEF] Evaluacion negativa que reconoce la crisis pero afirma que eso no exculpa el mal desempeno. [INCLUYE] Respuestas que dicen 'si, hubo pandemia, pero igual...'. [EXCLUYE] Criticas puramente sanitarias sin esta logica comparativa.</t>
  </si>
  <si>
    <t>Le toco la pandemia, pero igual empeoro desempleo, salud y delincuencia</t>
  </si>
  <si>
    <t>[DEF] Evaluacion mixta del manejo de la crisis, con aciertos y errores. [INCLUYE] Respuestas que balancean aspectos positivos y negativos de la gestion de la pandemia. [EXCLUYE] Posturas claramente positivas o negativas.</t>
  </si>
  <si>
    <t>Dentro de todo se manejo bastante bien esa parte, pero hubo cosas que no gustaron</t>
  </si>
  <si>
    <t>[DEF] Aprobacion de una ley, reforma o decision concreta. [INCLUYE] Apoyo a medidas o politicas especificas. [EXCLUYE] Aprobaciones generales del gobierno.</t>
  </si>
  <si>
    <t>En la educacion hubo un plan y una reformulacion</t>
  </si>
  <si>
    <t>[DEF] Desacuerdo con el contenido de una ley, reforma o politica concreta. [INCLUYE] Criticas a la LUC, reforma jubilatoria, reforma educativa u otras medidas. [EXCLUYE] Criticas generales a la gestion sin medida identificable.</t>
  </si>
  <si>
    <t>No apruebo la LUC ni la reforma de la educacion</t>
  </si>
  <si>
    <t>(NEG) rechazo por implementacion</t>
  </si>
  <si>
    <t>[DEF] Critica a la forma de impulsar, comunicar o aplicar una medida concreta. [INCLUYE] Objeciones al procedimiento o modo de gobernar respecto de una medida. [EXCLUYE] Desacuerdo solo con el contenido de la medida.</t>
  </si>
  <si>
    <t>No parecio una buena forma de gobernar</t>
  </si>
  <si>
    <t>(NEU) evaluacion mixta de medidas</t>
  </si>
  <si>
    <t>[DEF] Balance entre medidas valoradas y cuestionadas. [INCLUYE] Respuestas que distinguen entre medidas mejores y peores. [EXCLUYE] Balances generales sin politica concreta.</t>
  </si>
  <si>
    <t>Algunas reformas estuvieron bien y otras no</t>
  </si>
  <si>
    <t>[DEF] Aprobacion basada en que cumplio promesas o avanzo en lo esperado. [INCLUYE] Referencias a concrecion o cumplimiento. [EXCLUYE] Elogios vagos sin referencia a promesas o resultados.</t>
  </si>
  <si>
    <t>Se esta cumpliendo lo prometido, lento pero firme</t>
  </si>
  <si>
    <t>[DEF] Critica basada en que no cumplio o contradijo lo prometido. [INCLUYE] Promesas incumplidas o distancia explicita respecto de lo prometido. [EXCLUYE] Falta de resultados sin mencion de promesas.</t>
  </si>
  <si>
    <t>[DEF] Critica basada en ausencia de mejoras o logros visibles. [INCLUYE] 'No hizo nada', 'no vi mejoras', 'no logro hacer nada'. [EXCLUYE] Criticas a una ley o escandalo especifico.</t>
  </si>
  <si>
    <t>[DEF] Evaluacion intermedia basada en logros parciales, resultados incompletos o mixtos. [INCLUYE] Respuestas que reconocen que hizo algo pero no alcanzo. [EXCLUYE] Balances generales sin foco en resultados.</t>
  </si>
  <si>
    <t>Hizo varias cosas, aunque quedaron otras sin cumplir</t>
  </si>
  <si>
    <t>[DEF] Aprobacion de la capacidad de mando, firmeza o conduccion. [INCLUYE] Mano firme, capacidad de liderar, autoridad. [EXCLUYE] Elogios de compromiso o cercania sin referencia a conduccion.</t>
  </si>
  <si>
    <t>Teniamos una mano firme</t>
  </si>
  <si>
    <t>(NEG) liderazgo debil</t>
  </si>
  <si>
    <t>[DEF] Critica por tibieza, flojedad o falta de autoridad. [INCLUYE] Respuestas que cuestionan su capacidad para mandar o conducir. [EXCLUYE] Criticas generales a la gestion.</t>
  </si>
  <si>
    <t>(NEU) conduccion mixta</t>
  </si>
  <si>
    <t>[DEF] Evaluacion ambivalente de su capacidad de mando. [INCLUYE] Respuestas que reconocen liderazgo con limites o errores. [EXCLUYE] Balances generales no centrados en conduccion.</t>
  </si>
  <si>
    <t>Puede haber tenido equivocaciones, pero hubo mano firme</t>
  </si>
  <si>
    <t>[DEF] Valoracion positiva basada en dedicacion, responsabilidad, seriedad o compromiso. [INCLUYE] Respuestas que elogian su actitud personal frente al cargo. [EXCLUYE] Liderazgo como mando politico.</t>
  </si>
  <si>
    <t>Se lo veia comprometido con el cargo</t>
  </si>
  <si>
    <t>(POS) cercania / sensibilidad personal</t>
  </si>
  <si>
    <t>[DEF] Valoracion positiva basada en cercania, cuidado, sensibilidad o conexion con la gente. [INCLUYE] Empatia, cercania humana o social. [EXCLUYE] Aprobacion general sin dimension interpersonal.</t>
  </si>
  <si>
    <t>Nos cuido en nuestro peor momento</t>
  </si>
  <si>
    <t>[DEF] Critica a atributos personales como frivolidad, superficialidad, soberbia o falta de seriedad. [INCLUYE] Figureti, mentiroso, desagradable, etc. [EXCLUYE] Corrupcion presentada como hecho del gobierno.</t>
  </si>
  <si>
    <t>Era un figurete terrible</t>
  </si>
  <si>
    <t>[DEF] Critica por alejamiento social o simbolico respecto de la poblacion. [INCLUYE] No representa, gobierna para un sector, de espaldas al pueblo. [EXCLUYE] Criticas institucionales al gobierno en abstracto.</t>
  </si>
  <si>
    <t>No representa los intereses de mi clase social</t>
  </si>
  <si>
    <t>(NEU) imagen personal ambivalente</t>
  </si>
  <si>
    <t>[DEF] Evaluacion mixta de su figura personal, con rasgos positivos y negativos. [INCLUYE] Respuestas ambivalentes sobre su persona o estilo. [EXCLUYE] Balances sobre la gestion general.</t>
  </si>
  <si>
    <t>Como mandatario fue asombroso, pero mintiendo descaradamente era creible</t>
  </si>
  <si>
    <t>Definición del Argumento</t>
  </si>
  <si>
    <t>Definición</t>
  </si>
  <si>
    <t>Cita de Ejemplo (Verbatim)</t>
  </si>
  <si>
    <t>A-Gestión de Pandemia</t>
  </si>
  <si>
    <t>Valoración positiva del manejo sanitario y económico del COVID-19.</t>
  </si>
  <si>
    <t>"Cumplió con creces su deber... nos cuidó en nuestro peor momento, en la pandemia."</t>
  </si>
  <si>
    <t>A-Liderazgo y Carisma</t>
  </si>
  <si>
    <t>Atributos personales</t>
  </si>
  <si>
    <t>"Un Presidente que lideraba... se lo veía 100% comprometido con el cargo."</t>
  </si>
  <si>
    <t>A-Resiliencia ante Crisis</t>
  </si>
  <si>
    <t>Capacidad de mantener el país en pie frente a factores externos (Pandemia, Sequía, Guerra).</t>
  </si>
  <si>
    <t>"Supo sostener al país en situaciones críticas, graves, pudimos salir adelante dejando saldo positivo."</t>
  </si>
  <si>
    <t>A-Inserción Internacional</t>
  </si>
  <si>
    <t>Mejora de la imagen país, búsqueda de inversiones y acuerdos comerciales.</t>
  </si>
  <si>
    <t>"Internacionalmente dejó al país muy bien posicionado... la imagen fue de las mejores."</t>
  </si>
  <si>
    <t>A-Indicadores Positivos</t>
  </si>
  <si>
    <t>Menciones de mejora en áreas específicas (Seguridad, Empleo, Economía).</t>
  </si>
  <si>
    <t>"Se vio más seguridad en la calle y nuestros hogares apoyo al laburante."</t>
  </si>
  <si>
    <t>A-Cumplimiento de Promesas</t>
  </si>
  <si>
    <t>Percepción de que cumplió con el programa de gobierno o metas fijadas.</t>
  </si>
  <si>
    <t>"Los principales puntos en los que se basó la campaña electoral se cumplieron, total o parcialmente."</t>
  </si>
  <si>
    <t>A-Apoyo Normativo</t>
  </si>
  <si>
    <t>Valoración positiva de reformas como la LUC o la Educación.</t>
  </si>
  <si>
    <t>"Liderazgo claro, manejo firme en momentos clave... impulso de reformas."</t>
  </si>
  <si>
    <t>NEUTRO / AMB.</t>
  </si>
  <si>
    <t>N-Balance Ambivalente</t>
  </si>
  <si>
    <t>Reconoce aciertos y errores en igual medida; visión "gris".</t>
  </si>
  <si>
    <t>"Tuvo aciertos en algunos temas, pero también decisiones que no compartí."</t>
  </si>
  <si>
    <t>N-Indiferencia/Desconocimiento</t>
  </si>
  <si>
    <t>Falta de interés, no estar al tanto o respuesta evasiva.</t>
  </si>
  <si>
    <t>"No tengo mucho interés como se manejo su gobierno."</t>
  </si>
  <si>
    <t>N-Continuismo/Inercia</t>
  </si>
  <si>
    <t>Considera que no hubo cambios reales o que "todos los gobiernos son iguales".</t>
  </si>
  <si>
    <t>"No veo grandes cambios comparado con este gobierno..."</t>
  </si>
  <si>
    <t>D-Corrupción y Ética</t>
  </si>
  <si>
    <t>Casos Astesiano, Marset, "cosas turbias", falta de transparencia o mentiras.</t>
  </si>
  <si>
    <t>"Asquerosamente corrupto... marcado por hechos de corrupción, acomodo, situaciones turbias."</t>
  </si>
  <si>
    <t>D-Incumplimiento de Promesas</t>
  </si>
  <si>
    <t>Crítica por suba de impuestos, combustibles o cambio en la edad jubilatoria.</t>
  </si>
  <si>
    <t>"Prometieron que no iban a cambiar la edad de jubilación y lo hicieron... Esa fue la traición mayor."</t>
  </si>
  <si>
    <t>D-Sesgo de Clase</t>
  </si>
  <si>
    <t>Percepción de que gobernó para las élites, empresarios o "los de arriba" contra el pueblo.</t>
  </si>
  <si>
    <t>"Gobernó cómo lo hace siempre la derecha, de espalda al pueblo... un burgués que nunca pensó en el pobre."</t>
  </si>
  <si>
    <t>D-Indicadores Negativos</t>
  </si>
  <si>
    <t>Críticas por retroceso en Seguridad (homicidios), Salarios, Pobreza o Derechos Humanos.</t>
  </si>
  <si>
    <t>"Considero que empeoró el tema de desempleo, salud y de delincuencia."</t>
  </si>
  <si>
    <t>D-Crítica al Liderazgo</t>
  </si>
  <si>
    <t>Percepción de soberbia, falta de altura para mandar o falta de trabajo real ("figurete").</t>
  </si>
  <si>
    <t>"La calle Pou nunca trabajó. Y siendo presidente también, era un figurete terrible."</t>
  </si>
  <si>
    <t>D-Crítica a la Pandemia</t>
  </si>
  <si>
    <t>Disconformidad específica con cómo se manejó la crisis sanitaria o sus muertes.</t>
  </si>
  <si>
    <t>"Gestión de la pandemia que no me gustó... pasando por la falta de atenuantes económicos."</t>
  </si>
  <si>
    <t>D-Rechazo Normativo</t>
  </si>
  <si>
    <t>Oposición directa a la LUC o reformas estructurales del gobierno.</t>
  </si>
  <si>
    <t>"No apruebo la LUC, ni la reforma de la educación ni otras cosas."</t>
  </si>
  <si>
    <t>¿Qué medidas cree que debería tomar el gobierno ahora para mejorar la situación?</t>
  </si>
  <si>
    <t>Nombre del Código</t>
  </si>
  <si>
    <t>Definición / Qué incluye</t>
  </si>
  <si>
    <t>Cita de ejemplo (Verbatim)</t>
  </si>
  <si>
    <t>1 Seguridad y Justicia</t>
  </si>
  <si>
    <t>Presencia y Prevención</t>
  </si>
  <si>
    <t>Aumento de patrullaje, cámaras, "mano dura" y mayor firmeza policial.</t>
  </si>
  <si>
    <t>"Poner mano bien firme a los delitos como robos, atractos y violadores..."</t>
  </si>
  <si>
    <t>Narcotráfico</t>
  </si>
  <si>
    <t>Acciones contra el tráfico de drogas y cierre de puntos de venta.</t>
  </si>
  <si>
    <t>"Ir contra el narcotráfico con todo; cerrar bocas de drogas."</t>
  </si>
  <si>
    <t>Sistema Carcelario</t>
  </si>
  <si>
    <t>Reformas en cárceles, rehabilitación y separación de delincuentes.</t>
  </si>
  <si>
    <t>"Crear cárceles de máxima seguridad... porque la cárcel es una escuela de delincuencia."</t>
  </si>
  <si>
    <t>Reformas Legales</t>
  </si>
  <si>
    <t>Cambios en leyes, aumento de penas y cumplimiento de normativas.</t>
  </si>
  <si>
    <t>"Cambiar la ley 19.580. Hacer cumplen en la ley rápido y efectivamente."</t>
  </si>
  <si>
    <t>2 Economía y Empleo</t>
  </si>
  <si>
    <t>Fomento del Empleo</t>
  </si>
  <si>
    <t>Creación de puestos de trabajo, capacitación y apoyo a la producción.</t>
  </si>
  <si>
    <t>"Generar más fuentes de empleo... la gente necesita trabajo para vivir con dignidad."</t>
  </si>
  <si>
    <t>Costo de Vida e Inflación</t>
  </si>
  <si>
    <t>Medidas contra la inflación y el aumento de precios por contexto externo.</t>
  </si>
  <si>
    <t>"Bajar el costo de vida... que no se afecte tanto en los bolsillos la situación bélica."</t>
  </si>
  <si>
    <t>Inversión y Mercados</t>
  </si>
  <si>
    <t>Atracción de empresas extranjeras y apertura comercial.</t>
  </si>
  <si>
    <t>"Aumentar la inversión extranjera y hablar con empresas para ubicarse en Uruguay."</t>
  </si>
  <si>
    <t>Impuestos y Gasto</t>
  </si>
  <si>
    <t>Reducción de carga impositiva y eficiencia del gasto público.</t>
  </si>
  <si>
    <t>"Bajar impuestos o directamente sacarlos... dejar de contratar empleados públicos."</t>
  </si>
  <si>
    <t>3 Situación Social</t>
  </si>
  <si>
    <t>Situación de Calle</t>
  </si>
  <si>
    <t>Atención a indigencia, adicciones en vía pública y refugios.</t>
  </si>
  <si>
    <t>"Urgente trabajar y solucionar el tema de la gente en la calle en todas las cuadras."</t>
  </si>
  <si>
    <t>Políticas Sociales</t>
  </si>
  <si>
    <t>Ayuda a grupos vulnerables (madres, jubilados, pobreza infantil).</t>
  </si>
  <si>
    <t>"Más ayuda a las mujeres de 45 a 62 años, solas con hijos... acceso a vivienda."</t>
  </si>
  <si>
    <t>Salud y Educación</t>
  </si>
  <si>
    <t>Inversión en servicios públicos básicos y calidad prestacional.</t>
  </si>
  <si>
    <t>"Inversión más en educación. Transformación del sistema de salud."</t>
  </si>
  <si>
    <t>4 Gestión y Política</t>
  </si>
  <si>
    <t>Comunicación e Imagen</t>
  </si>
  <si>
    <t>Formas de hablar del presidente, imagen pública y presencia diplomática.</t>
  </si>
  <si>
    <t>"Enseñarle a hablar al presidente... que no haga papelones cuando sale afuera."</t>
  </si>
  <si>
    <t>Cumplimiento y Resultados</t>
  </si>
  <si>
    <t>Exigencia de cumplir promesas de campaña y ser más operativos.</t>
  </si>
  <si>
    <t>"Que empiece a hacer y a cumplir lo que dijo en campaña."</t>
  </si>
  <si>
    <t>Diálogo y Ética</t>
  </si>
  <si>
    <t>Acuerdos con la oposición, ética pública y fin de la "politiquería".</t>
  </si>
  <si>
    <t>"Lograr acuerdos con otros sectores políticos para avanzar en soluciones estables."</t>
  </si>
  <si>
    <t>Cambios de Gabinete</t>
  </si>
  <si>
    <t>Solicitud de renuncia o cambio de ministros específicos.</t>
  </si>
  <si>
    <t>"El ministro de trabajo tendría que cambiarlo, el ministro de interior tendría que cambiarlo."</t>
  </si>
  <si>
    <t>5 Otros</t>
  </si>
  <si>
    <t>Continuidad</t>
  </si>
  <si>
    <t>Apoyo a la gestión actual o pedido de seguir el plan vigente.</t>
  </si>
  <si>
    <t>"Se están tomando medidas. Ahora hay que esperar los resultados."</t>
  </si>
  <si>
    <t>Descreimiento / Crítica</t>
  </si>
  <si>
    <t>Respuestas negativas sin propuesta, o pedidos de nuevas elecciones.</t>
  </si>
  <si>
    <t>"La verdad ya no tengo esperanzas... tendría que llamar a elecciones."</t>
  </si>
  <si>
    <t>NS / NC</t>
  </si>
  <si>
    <t>No sabe, no contesta o respuestas fuera de tema.</t>
  </si>
  <si>
    <t>"Ni idea", "No se", "¿Qué situación?"</t>
  </si>
  <si>
    <t>Otros</t>
  </si>
  <si>
    <t>Coordinación interinstitucional</t>
  </si>
  <si>
    <t>Que se coordine interinstitucionalmente.</t>
  </si>
  <si>
    <t>"Coordinar todos los ministerios en tema seguridad, situacion calle. Achicar burocracia."
 "Coordinar más"
" Implementación inmediata de medidas para mejorar la articulación interinstitucional</t>
  </si>
  <si>
    <t>Economía y empleo</t>
  </si>
  <si>
    <t>Gestión y política</t>
  </si>
  <si>
    <t>Seguridad y Justcia</t>
  </si>
  <si>
    <t>Situación social</t>
  </si>
  <si>
    <t>Descreimiento, Crítica</t>
  </si>
  <si>
    <t>% de N columnas</t>
  </si>
  <si>
    <t>Situcaión social</t>
  </si>
  <si>
    <t>NS,NC</t>
  </si>
  <si>
    <t>Gestión  y política</t>
  </si>
  <si>
    <t>Seguridad y Justicia</t>
  </si>
  <si>
    <t>Cambiando de tema, si pensamos en las próximas elecciones ¿Se imagina a algún/a candidata/o posible? ¿quién?</t>
  </si>
  <si>
    <t>Definición / Quiénes incluye</t>
  </si>
  <si>
    <t>1. Coalición Republicana (PN, PC, etc.)</t>
  </si>
  <si>
    <t>Alguien del partido nacional</t>
  </si>
  <si>
    <t>Sin mención específica a nombres pero sí al partido o anti FA</t>
  </si>
  <si>
    <t>Luis Lacalle Pou</t>
  </si>
  <si>
    <t>Menciones directas al actual expresidente (asumiendo su retorno al ruedo).</t>
  </si>
  <si>
    <t>"Si se tira calle Pou lo votare... me dio más confianza."</t>
  </si>
  <si>
    <t>Andrés Ojeda</t>
  </si>
  <si>
    <t>Candidato del Partido Colorado.</t>
  </si>
  <si>
    <t>"Ojeda estuvo muy bien posicionado... va a querer su parte."</t>
  </si>
  <si>
    <t>Pedro Bordaberry</t>
  </si>
  <si>
    <t>Referencia al histórico líder colorado.</t>
  </si>
  <si>
    <t>"Por el partido colorado, el Pedro Borraveri [sic]."</t>
  </si>
  <si>
    <t>Nicolás Olivera</t>
  </si>
  <si>
    <t>Menciones al intendente de Paysandú.</t>
  </si>
  <si>
    <t>"El intendente de paysandú podría presentarse a la carrera electoral."</t>
  </si>
  <si>
    <t>Álvaro Delgado</t>
  </si>
  <si>
    <t>Referencia al actual secretario de la presidencia o figura blanca.</t>
  </si>
  <si>
    <t>"Creo que Delgado va hacer uno de los que va a intentar."</t>
  </si>
  <si>
    <t>2. Frente Amplio (Oposición)</t>
  </si>
  <si>
    <t>Alguien del FA</t>
  </si>
  <si>
    <t>Sin mención específica a nombres pero sí al partido.</t>
  </si>
  <si>
    <t>Referencias a la ex-intendenta de Montevideo.</t>
  </si>
  <si>
    <t>"Cosse!!", "La única que quedaría sería Carolina Coce."</t>
  </si>
  <si>
    <t>Alejandro "Pacha" Sánchez</t>
  </si>
  <si>
    <t>Referencias al senador del MPP.</t>
  </si>
  <si>
    <t>"Alejandro Sánchez", "Por el FA el pacha Sanchez."</t>
  </si>
  <si>
    <t>Periodista incorporada al FA.</t>
  </si>
  <si>
    <t>"Blanca Rodríguez", "Blanca Rodríguez Carolina Cosse."</t>
  </si>
  <si>
    <t>Referencias a la diputada de PAR.</t>
  </si>
  <si>
    <t>"Me imagino a Carolina Cose y a Lustemberg."</t>
  </si>
  <si>
    <t>Yamandú Orsi</t>
  </si>
  <si>
    <t>Menciones al actual presidente (posible reelección o mención por contexto).</t>
  </si>
  <si>
    <t>"Lustemberg, Blanca Rodriguez, Orsi..."</t>
  </si>
  <si>
    <t>Otros FA</t>
  </si>
  <si>
    <t>Andrade, Bergara, Michellini, Constanza Moreira, Legnani, Irigoin.</t>
  </si>
  <si>
    <t>"A mí me gustaría como próximo presidente a Oscar Andrade."</t>
  </si>
  <si>
    <t>3. Otras Fuerzas / Nuevos Aires</t>
  </si>
  <si>
    <t>Libertad Avanza Uruguay</t>
  </si>
  <si>
    <t>Referencia al partido de Nicolás Quintana/ideas libertarias.</t>
  </si>
  <si>
    <t>"Apostaría por el candidato del partido La Libertad Avanza Uruguay."</t>
  </si>
  <si>
    <t>Gustavo Salle / Lust</t>
  </si>
  <si>
    <t>Referencias a partidos chicos o figuras como Lust.</t>
  </si>
  <si>
    <t>"Me imagino a Carolina Cose y a Lustemberg [posible confusión con Lust]."</t>
  </si>
  <si>
    <t>4. Indecisión y Negación</t>
  </si>
  <si>
    <t>Indecisión / Falta Tiempo</t>
  </si>
  <si>
    <t>No sabe, es temprano, prefiere evaluar después.</t>
  </si>
  <si>
    <t>"Falta mucho aun", "Aún no tengo un candidato/a definido."</t>
  </si>
  <si>
    <t>Desencanto Político</t>
  </si>
  <si>
    <t>No cree en nadie, "son todos iguales", falta de trayectoria.</t>
  </si>
  <si>
    <t>"No, ya no creo en ningún político. La avaricia les gana."</t>
  </si>
  <si>
    <t>Respuestas cortas como "No", "Ni idea", "No se".</t>
  </si>
  <si>
    <t>"No", "Ni idea", "No estoy seguro."</t>
  </si>
  <si>
    <t>(Broma/Otros)</t>
  </si>
  <si>
    <t>COALICIÓN</t>
  </si>
  <si>
    <t>OTROS</t>
  </si>
  <si>
    <t>SIN RESPUESTA</t>
  </si>
  <si>
    <t>Indecisión. Falta Tiempo</t>
  </si>
  <si>
    <t>Broma, Otros</t>
  </si>
  <si>
    <t>Si pensamos en las próximas elecciones ¿Se imagina a algún/a candidata/o posible? ¿quién?</t>
  </si>
  <si>
    <t>Gustavo Salle, Lust</t>
  </si>
  <si>
    <t>Menciones candidatos CM</t>
  </si>
  <si>
    <t>Menciones candidatos FA</t>
  </si>
  <si>
    <t>Menciones SIN candidato</t>
  </si>
  <si>
    <t>Más allá de su candidato/a para las próximas elecciones y de los partidos políticos ¿Le parece que sería bueno que nuestro país tenga una presidenta mujer en el próximo período de gobierno?</t>
  </si>
  <si>
    <t>1. Enfoque en Capacidad (Neutral)</t>
  </si>
  <si>
    <t>Indiferencia al Género</t>
  </si>
  <si>
    <t>El género no importa; lo único relevante es la capacidad, idoneidad o el proyecto.</t>
  </si>
  <si>
    <t>"Importa que sea capaz para el cargo... independiente de su género."</t>
  </si>
  <si>
    <t>"Depende de quién"</t>
  </si>
  <si>
    <t>Condiciona la respuesta a la persona específica que se postule, no al colectivo mujer.</t>
  </si>
  <si>
    <t>"Depende de la mujer, al igual que depende del hombre."</t>
  </si>
  <si>
    <t>2. Argumentos a Favor (Cambio)</t>
  </si>
  <si>
    <t>Visión / Perspectiva Diferente</t>
  </si>
  <si>
    <t>La mujer aporta una mirada distinta, más sensible, humana o con otras prioridades.</t>
  </si>
  <si>
    <t>"Tiene otro punto de vista de las cosas. Es más cabeza."</t>
  </si>
  <si>
    <t>Hito Histórico / Justicia</t>
  </si>
  <si>
    <t>Es hora de que suceda porque nunca pasó o para romper el "techo de cristal".</t>
  </si>
  <si>
    <t>"Uruguay todavía tiene ese debe... ya es hora de que se rompa el techo de cristal."</t>
  </si>
  <si>
    <t>Igualdad y Representación</t>
  </si>
  <si>
    <t>Fomento de la paridad, reducción de la brecha de género y derechos iguales.</t>
  </si>
  <si>
    <t>"Sería un paso importante para la igualdad y la representación."</t>
  </si>
  <si>
    <t>Capacidad Percibida Superior</t>
  </si>
  <si>
    <t>Creencia de que las mujeres son más capaces, ordenadas o menos "tibias" que los hombres.</t>
  </si>
  <si>
    <t>"Las mujeres somos muy capaces de hacer muchas cosas que a veces los hombres son tibios."</t>
  </si>
  <si>
    <t>3. Argumentos en Contra o Barreras</t>
  </si>
  <si>
    <t>Falta de Liderazgo Actual</t>
  </si>
  <si>
    <t>No se ven mujeres preparadas o con carácter en la oferta política vigente.</t>
  </si>
  <si>
    <t>"Creo que no tenemos mujeres con carácter en la política."</t>
  </si>
  <si>
    <t>Barrera Cultural / Machismo</t>
  </si>
  <si>
    <t>El país o el sistema político no están listos o le harán la vida difícil a una mujer.</t>
  </si>
  <si>
    <t>"Somos un país muy machista... le va a ser difícil lograr cosas donde los hombres se creen superiores."</t>
  </si>
  <si>
    <t>Esencialismo Negativo</t>
  </si>
  <si>
    <t>Argumentos biológicos o prejuicios sobre la incapacidad de la mujer para el mando.</t>
  </si>
  <si>
    <t>"No creo que la mujer sea capaz de poder llevar un país adelante. Presidente es hombre."</t>
  </si>
  <si>
    <t>4. Otros</t>
  </si>
  <si>
    <t>Mención a Candidata Específica</t>
  </si>
  <si>
    <t>La respuesta se centra en una figura (Cosse, Blanca Rodríguez, Raffo, etc.).</t>
  </si>
  <si>
    <t>"Cosse presidente."</t>
  </si>
  <si>
    <t>NS / NC / Sin respuesta</t>
  </si>
  <si>
    <t>No sabe, no contesta o información insuficiente.</t>
  </si>
  <si>
    <t>"Sin respuesta", "No estoy informada."</t>
  </si>
  <si>
    <t>¿Por qué?</t>
  </si>
  <si>
    <t>Visión, Perspectiva Diferente</t>
  </si>
  <si>
    <t>Hito Histórico, Justicia</t>
  </si>
  <si>
    <t>Depende de quién</t>
  </si>
  <si>
    <t>Barrera Cultural, Machismo</t>
  </si>
  <si>
    <t>NS, NC o Sin respuesta</t>
  </si>
  <si>
    <t>POSTURA</t>
  </si>
  <si>
    <t>codigo</t>
  </si>
  <si>
    <t>descripcion</t>
  </si>
  <si>
    <t>Textos con valoracion claramente positiva, orgullosa o de defensa fuerte de la educacion publica. Incluye elogios sin objeciones sustantivas, apoyo cerrado y expresiones como 'muy buena', 'de primera', 'la mejor' o 'la apoyo totalmente'. Excluye respuestas positivas que agregan carencias, necesidades de mejora o preocupacion por el presente.</t>
  </si>
  <si>
    <t>Textos con balance general favorable pero acompanado por limites, problemas o mejoras necesarias. Incluye formulas como 'es buena pero...', 'vamos bien aunque falta', 'positiva con cosas a mejorar' o apoyos condicionados a reformas. Excluye respuestas que contrastan explicitamente el legado historico o el ideal de la educacion publica con una preocupacion actual, que corresponden a orgullo_historico_y_preocupacion.</t>
  </si>
  <si>
    <t>Textos que combinan identificacion afectiva con la tradicion, el ideal o la experiencia biografica de la educacion publica y, al mismo tiempo, alarma, tristeza o preocupacion por su deterioro actual. Incluye nostalgias explicitas del tipo 'habria que volver a la educacion de antes' o apelaciones a recuperar un modelo perdido. Requiere un contraste explicito o implicito muy claro entre un pasado o ideal valioso y un presente problematico. Excluye apoyos con matices sin referencia historica o nostalgica clara.</t>
  </si>
  <si>
    <t>Textos predominantemente negativos que describen deterioro, carencias o necesidad de reformas, pero en tono correctivo, sobrio o reformista. Incluye 'hay mucho para mejorar', 'falta exigencia', 'esta floja', 'esta descuidada' o 'requiere cambios profundos'. Excluye lenguaje de colapso, indignacion o desastre, que corresponde a critica_severa.</t>
  </si>
  <si>
    <t>Textos muy negativos que describen crisis, desastre, decadencia extrema o fracaso grave de la educacion publica. Incluye expresiones como 'cada vez peor', 'muy mal', 'un desastre', 'no aprenden nada', 'indignacion' o equivalentes de deterioro profundo. Excluye criticas puntuales o reformistas sin intensidad alta.</t>
  </si>
  <si>
    <t>Textos que expresan no saber, no opinar, no tener contacto actual, no contar con informacion suficiente o que resultan demasiado vagos para inferir una postura general. Incluye 'no opino', 'no se' y 'no tengo contacto'. Excluye respuestas breves pero inteligibles como 'muy positiva' o 'muy mala', que si deben clasificarse.</t>
  </si>
  <si>
    <t>FUNDAMENTO</t>
  </si>
  <si>
    <t>Textos donde el argumento dominante es que la educacion publica vale por ser gratuita, accesible, universal, integradora o promotora de igualdad de oportunidades y movilidad social. Incluye referencias al bien publico, a que llega a todos y a su funcion democratizadora. Excluye menciones centradas en presupuesto, calidad de aprendizajes o docentes.</t>
  </si>
  <si>
    <t>Textos donde el argumento dominante refiere al nivel educativo, los aprendizajes efectivos, la exigencia academica, la comprension lectora, saberes basicos, planes de estudio o resultados formativos. Incluye juicios sobre que se aprende poco, que se aprueba sin saber o que hace falta mayor exigencia. Excluye referencias cuyo centro sea la conducta familiar, los valores o la gestion institucional.</t>
  </si>
  <si>
    <t>Textos donde el argumento dominante refiere a presupuesto, recursos materiales, infraestructura edilicia, superpoblacion, recorte de cursos, insumos o carencias basicas para funcionar. Incluye menciones a falta de plata, edificios, centros a reparar, cursos cerrados y gastos operativos. Excluye referencias centradas en compromiso docente, formacion o burocracia, que corresponden a docentes_y_gestion.</t>
  </si>
  <si>
    <t>Textos donde el argumento dominante refiere a docentes, maestros, profesores, directores, formacion pedagogica, vocacion, compromiso, organizacion, burocracia, gestion institucional, participacion docente o sindicatos en tanto afectan el funcionamiento educativo. Excluye menciones cuyo foco principal sea falta de recursos materiales o presupuesto.</t>
  </si>
  <si>
    <t>Textos donde el argumento dominante refiere a perdida de valores, respeto, disciplina, violencia, convivencia escolar o al rol de la casa, los padres y las familias en la educacion. Incluye senalamientos de que 'la base viene del hogar' o de que el deterioro educativo expresa problemas sociales y familiares. Excluye criticas sobre aprendizajes si no se apoyan centralmente en este marco moral o familiar.</t>
  </si>
  <si>
    <t>Textos donde el argumento dominante refiere a inclusion educativa, discapacidad, acompanantes, psicologos, personal de apoyo, adaptaciones, sensibilizacion o necesidades educativas especificas. Incluye barreras para estudiantes con autismo u otras condiciones que requieren apoyos concretos. Excluye menciones generales a igualdad o acceso si no describen necesidades de apoyo especificas.</t>
  </si>
  <si>
    <t>Textos que expresan una valoracion general, positiva o negativa, pero sin desarrollar un argumento reconocible que explique esa postura. Incluye respuestas breves o vagas como 'muy positiva', 'esta mal' o 'buena' sin razon explicitada. Excluye respuestas con cualquier fundamento dominante clasificable en otro codigo.</t>
  </si>
  <si>
    <t>Conteos por segmento</t>
  </si>
  <si>
    <t>Porcentajes por segmento</t>
  </si>
  <si>
    <t>Conteos por voto2</t>
  </si>
  <si>
    <t>Porcentajes por voto2</t>
  </si>
  <si>
    <t>Sí, asistiendo</t>
  </si>
  <si>
    <t>Sí, como docente o funcionario</t>
  </si>
  <si>
    <t>Sí, ambos</t>
  </si>
  <si>
    <t>Textos donde el aspecto principal a mejorar es el cuerpo docente o la gestion institucional. Incluye formacion docente, capacitacion, vocacion, compromiso, sueldos, asignacion o eleccion de horas, autoridades, directores, inspectores, burocracia, gobernanza, co-gobierno, sindicatos o libertad de catedra. Excluye respuestas centradas ante todo en presupuesto edilicio, contenidos curriculares o exigencia de aprendizaje.</t>
  </si>
  <si>
    <t>Textos donde el aspecto principal a mejorar es el financiamiento, la infraestructura fisica o los recursos materiales. Incluye presupuesto, mas plata, edificios, salones, aire acondicionado, materiales, equipamiento, recursos pedagogicos y carencias basicas de funcionamiento. Excluye respuestas cuyo foco central sea tener mas docentes, mas horas o menos alumnos por grupo.</t>
  </si>
  <si>
    <t>Textos donde el aspecto principal a mejorar es que se ensena y como se ensena. Incluye programas, curricula, contenidos, planes, metodologia, modelo educativo, mas practicidad, nuevas materias, actualizacion a los tiempos, economia, informatica, oficios o educacion sexual. Excluye reclamos centrados en exigencia, evaluacion o nivel de aprendizaje si no cuestionan principalmente contenidos o enfoque pedagogico.</t>
  </si>
  <si>
    <t>Textos donde el aspecto principal a mejorar es el nivel educativo, la exigencia o los resultados de aprendizaje. Incluye lectoescritura, comprension lectora, evaluaciones, promocion automatica, pasar de grado sin aprender, conocimientos basicos, calidad educativa y necesidad de mayor rigor academico. Excluye referencias disciplinarias o familiares si el centro no esta en los aprendizajes.</t>
  </si>
  <si>
    <t>Textos donde el aspecto principal a mejorar es la inclusion o los apoyos especializados a estudiantes. Incluye discapacidad, ninos con capacidades diferentes, sensibilizacion, personal no docente, psicologos, asistentes sociales, acompanamiento, alimentacion escolar u otros apoyos para sostener trayectorias. Excluye menciones generales a igualdad o recursos que no se refieran a apoyos concretos.</t>
  </si>
  <si>
    <t>Textos donde el aspecto principal a mejorar es la convivencia, el respeto, la disciplina o el rol de las familias. Incluye celulares, uniforme, fechas patrias, violencia, sanciones, conducta, respeto a docentes y responsabilidad del hogar en la educacion. Excluye pedidos de mayor exigencia academica si no se apoyan centralmente en un marco de orden o socializacion.</t>
  </si>
  <si>
    <t>Textos donde el aspecto principal a mejorar es la cobertura de la oferta y la capacidad de atencion. Incluye mas maestros o profesores, menos alumnos por aula, mas grupos, mas horas de clase, escuelas de tiempo completo, ampliar horarios, mas instituciones o falta de personal para cubrir cursos. Excluye reclamos salariales o de formacion docente cuando el foco no es la cobertura.</t>
  </si>
  <si>
    <t>Textos donde la persona pide una reforma amplia o un replanteo general del sistema sin priorizar un aspecto especifico. Incluye frases como 'todo', 'de raiz', 'repensar la educacion', 'reestructurar', 'resetear' o referencias a un cambio global. Excluye listas donde si se puede identificar un aspecto dominante.</t>
  </si>
  <si>
    <t>Textos donde la persona no sabe, no opina, no se anima a responder, dice no conocer el tema o sostiene que no hay nada importante para cambiar. Incluye 'no se', 'no opino', 'ninguno', 'esta bien asi' y equivalentes. Excluye respuestas breves pero codificables en algun aspecto concreto.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</si>
</sst>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33">
    <font>
      <sz val="11.0"/>
      <color rgb="FF000000"/>
      <name val="Calibri"/>
      <scheme val="minor"/>
    </font>
    <font>
      <color theme="1"/>
      <name val="Calibri"/>
      <scheme val="minor"/>
    </font>
    <font>
      <color theme="1"/>
      <name val="Google Sans Text"/>
    </font>
    <font>
      <b/>
      <sz val="11.0"/>
      <color theme="1"/>
      <name val="Calibri"/>
    </font>
    <font>
      <color rgb="FF1F1F1F"/>
      <name val="&quot;Google Sans Text&quot;"/>
    </font>
    <font>
      <b/>
      <color theme="1"/>
      <name val="Google Sans Text"/>
    </font>
    <font>
      <sz val="11.0"/>
      <color theme="1"/>
      <name val="Calibri"/>
    </font>
    <font>
      <b/>
      <color rgb="FF1F1F1F"/>
      <name val="&quot;Google Sans Text&quot;"/>
    </font>
    <font>
      <b/>
      <sz val="9.0"/>
      <color rgb="FFF3F3F3"/>
      <name val="Arial"/>
    </font>
    <font/>
    <font>
      <sz val="11.0"/>
      <color rgb="FF000000"/>
      <name val="Calibri"/>
    </font>
    <font>
      <b/>
      <sz val="11.0"/>
      <color rgb="FF000000"/>
      <name val="Montserrat"/>
    </font>
    <font>
      <b/>
      <color theme="1"/>
      <name val="Calibri"/>
      <scheme val="minor"/>
    </font>
    <font>
      <b/>
      <color rgb="FFFFFFFF"/>
      <name val="Calibri"/>
      <scheme val="minor"/>
    </font>
    <font>
      <sz val="12.0"/>
      <color rgb="FF000000"/>
      <name val="Calibri"/>
      <scheme val="minor"/>
    </font>
    <font>
      <sz val="11.0"/>
      <color rgb="FF000000"/>
      <name val="Arial"/>
    </font>
    <font>
      <sz val="11.0"/>
      <color theme="1"/>
      <name val="Arial"/>
    </font>
    <font>
      <b/>
      <sz val="11.0"/>
      <color rgb="FF000000"/>
      <name val="Arial"/>
    </font>
    <font>
      <color theme="1"/>
      <name val="Arial"/>
    </font>
    <font>
      <sz val="9.0"/>
      <color rgb="FF000000"/>
      <name val="Arial"/>
    </font>
    <font>
      <sz val="14.0"/>
      <color theme="1"/>
      <name val="Calibri"/>
      <scheme val="minor"/>
    </font>
    <font>
      <b/>
      <sz val="11.0"/>
      <color rgb="FF000000"/>
      <name val="Calibri"/>
    </font>
    <font>
      <i/>
      <sz val="11.0"/>
      <color rgb="FF000000"/>
      <name val="Calibri"/>
    </font>
    <font>
      <b/>
      <sz val="11.0"/>
      <color rgb="FFFFFFFF"/>
      <name val="Calibri"/>
    </font>
    <font>
      <b/>
      <sz val="20.0"/>
      <color rgb="FF000000"/>
      <name val="Tahoma"/>
    </font>
    <font>
      <sz val="20.0"/>
      <color rgb="FF000000"/>
      <name val="Tahoma"/>
    </font>
    <font>
      <i/>
      <color theme="1"/>
      <name val="Google Sans Text"/>
    </font>
    <font>
      <i/>
      <color rgb="FF1F1F1F"/>
      <name val="&quot;Google Sans Text&quot;"/>
    </font>
    <font>
      <sz val="11.0"/>
      <color rgb="FF000000"/>
      <name val="Montserrat"/>
    </font>
    <font>
      <color rgb="FF000000"/>
      <name val="Calibri"/>
      <scheme val="minor"/>
    </font>
    <font>
      <b/>
      <sz val="11.0"/>
      <color theme="1"/>
      <name val="Calibri"/>
      <scheme val="minor"/>
    </font>
    <font>
      <sz val="11.0"/>
      <color theme="1"/>
      <name val="Calibri"/>
      <scheme val="minor"/>
    </font>
    <font>
      <sz val="11.0"/>
      <color rgb="FF000000"/>
      <name val="&quot;Liberation Sans&quot;"/>
    </font>
  </fonts>
  <fills count="17">
    <fill>
      <patternFill patternType="none"/>
    </fill>
    <fill>
      <patternFill patternType="lightGray"/>
    </fill>
    <fill>
      <patternFill patternType="solid">
        <fgColor rgb="FFB6D7A8"/>
        <bgColor rgb="FFB6D7A8"/>
      </patternFill>
    </fill>
    <fill>
      <patternFill patternType="solid">
        <fgColor rgb="FFF79646"/>
        <bgColor rgb="FFF79646"/>
      </patternFill>
    </fill>
    <fill>
      <patternFill patternType="solid">
        <fgColor theme="9"/>
        <bgColor theme="9"/>
      </patternFill>
    </fill>
    <fill>
      <patternFill patternType="solid">
        <fgColor rgb="FFD9EAF7"/>
        <bgColor rgb="FFD9EAF7"/>
      </patternFill>
    </fill>
    <fill>
      <patternFill patternType="solid">
        <fgColor rgb="FF1F4E78"/>
        <bgColor rgb="FF1F4E78"/>
      </patternFill>
    </fill>
    <fill>
      <patternFill patternType="solid">
        <fgColor rgb="FFEA9999"/>
        <bgColor rgb="FFEA9999"/>
      </patternFill>
    </fill>
    <fill>
      <patternFill patternType="solid">
        <fgColor rgb="FFD9EAD3"/>
        <bgColor rgb="FFD9EAD3"/>
      </patternFill>
    </fill>
    <fill>
      <patternFill patternType="solid">
        <fgColor rgb="FFFFF2CC"/>
        <bgColor rgb="FFFFF2CC"/>
      </patternFill>
    </fill>
    <fill>
      <patternFill patternType="solid">
        <fgColor rgb="FFEFEFEF"/>
        <bgColor rgb="FFEFEFEF"/>
      </patternFill>
    </fill>
    <fill>
      <patternFill patternType="solid">
        <fgColor rgb="FFF4CCCC"/>
        <bgColor rgb="FFF4CCCC"/>
      </patternFill>
    </fill>
    <fill>
      <patternFill patternType="solid">
        <fgColor rgb="FFFFFFFF"/>
        <bgColor rgb="FFFFFFFF"/>
      </patternFill>
    </fill>
    <fill>
      <patternFill patternType="solid">
        <fgColor rgb="FFE69138"/>
        <bgColor rgb="FFE69138"/>
      </patternFill>
    </fill>
    <fill>
      <patternFill patternType="solid">
        <fgColor rgb="FFFCE5CD"/>
        <bgColor rgb="FFFCE5CD"/>
      </patternFill>
    </fill>
    <fill>
      <patternFill patternType="solid">
        <fgColor rgb="FFF0F0F0"/>
        <bgColor rgb="FFF0F0F0"/>
      </patternFill>
    </fill>
    <fill>
      <patternFill patternType="solid">
        <fgColor rgb="FFD1E6C9"/>
        <bgColor rgb="FFD1E6C9"/>
      </patternFill>
    </fill>
  </fills>
  <borders count="27">
    <border/>
    <border>
      <left style="thin">
        <color rgb="FFFFFFFF"/>
      </left>
      <top style="thin">
        <color rgb="FFFFFFFF"/>
      </top>
    </border>
    <border>
      <left style="thin">
        <color rgb="FF000000"/>
      </left>
      <top style="thin">
        <color rgb="FF000000"/>
      </top>
    </border>
    <border>
      <top style="thin">
        <color rgb="FF000000"/>
      </top>
    </border>
    <border>
      <right style="medium">
        <color rgb="FFCC0000"/>
      </right>
      <top style="thin">
        <color rgb="FF000000"/>
      </top>
    </border>
    <border>
      <right style="thin">
        <color rgb="FF000000"/>
      </right>
      <top style="thin">
        <color rgb="FF000000"/>
      </top>
    </border>
    <border>
      <left style="thin">
        <color rgb="FFFFFFFF"/>
      </left>
      <bottom style="thin">
        <color rgb="FFFFFFFF"/>
      </bottom>
    </border>
    <border>
      <left style="thin">
        <color rgb="FF000000"/>
      </left>
      <right style="thin">
        <color rgb="FF000000"/>
      </right>
      <top style="thin">
        <color rgb="FF000000"/>
      </top>
      <bottom style="thin">
        <color rgb="FF000000"/>
      </bottom>
    </border>
    <border>
      <left style="thin">
        <color rgb="FF000000"/>
      </left>
      <right style="medium">
        <color rgb="FFCC0000"/>
      </right>
      <top style="thin">
        <color rgb="FF000000"/>
      </top>
      <bottom style="thin">
        <color rgb="FF000000"/>
      </bottom>
    </border>
    <border>
      <right style="thin">
        <color rgb="FF000000"/>
      </right>
      <top style="thin">
        <color rgb="FF000000"/>
      </top>
      <bottom style="thin">
        <color rgb="FF000000"/>
      </bottom>
    </border>
    <border>
      <left style="thin">
        <color rgb="FF4F81BD"/>
      </left>
    </border>
    <border>
      <top style="thin">
        <color rgb="FF4F81BD"/>
      </top>
    </border>
    <border>
      <right style="medium">
        <color rgb="FFCC0000"/>
      </right>
      <top style="thin">
        <color rgb="FF4F81BD"/>
      </top>
    </border>
    <border>
      <right style="thin">
        <color rgb="FF4F81BD"/>
      </right>
      <top style="thin">
        <color rgb="FF4F81BD"/>
      </top>
    </border>
    <border>
      <left style="thin">
        <color rgb="FF4F81BD"/>
      </left>
      <top style="thin">
        <color rgb="FF4F81BD"/>
      </top>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4F81BD"/>
      </top>
    </border>
    <border>
      <right style="thin">
        <color rgb="FF000000"/>
      </right>
      <top style="thin">
        <color rgb="FF4F81BD"/>
      </top>
    </border>
    <border>
      <left style="thin">
        <color rgb="FF000000"/>
      </left>
      <bottom style="thin">
        <color rgb="FF000000"/>
      </bottom>
    </border>
    <border>
      <right style="thin">
        <color rgb="FF000000"/>
      </right>
      <bottom style="thin">
        <color rgb="FF000000"/>
      </bottom>
    </border>
    <border>
      <left style="thin">
        <color rgb="FF000000"/>
      </left>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bottom style="thin">
        <color rgb="FF000000"/>
      </bottom>
    </border>
  </borders>
  <cellStyleXfs count="1">
    <xf borderId="0" fillId="0" fontId="0" numFmtId="0" applyAlignment="1" applyFont="1"/>
  </cellStyleXfs>
  <cellXfs count="26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horizontal="center" vertical="bottom"/>
    </xf>
    <xf borderId="0" fillId="0" fontId="4" numFmtId="0" xfId="0" applyAlignment="1" applyFont="1">
      <alignment readingOrder="0"/>
    </xf>
    <xf borderId="0" fillId="0" fontId="1" numFmtId="0" xfId="0" applyAlignment="1" applyFont="1">
      <alignment shrinkToFit="0" wrapText="1"/>
    </xf>
    <xf borderId="0" fillId="0" fontId="5" numFmtId="0" xfId="0" applyAlignment="1" applyFont="1">
      <alignment readingOrder="0"/>
    </xf>
    <xf borderId="0" fillId="0" fontId="6" numFmtId="0" xfId="0" applyAlignment="1" applyFont="1">
      <alignment vertical="bottom"/>
    </xf>
    <xf borderId="0" fillId="0" fontId="7" numFmtId="0" xfId="0" applyAlignment="1" applyFont="1">
      <alignment readingOrder="0"/>
    </xf>
    <xf borderId="0" fillId="0" fontId="1" numFmtId="0" xfId="0" applyAlignment="1" applyFont="1">
      <alignment readingOrder="0" shrinkToFit="0" wrapText="1"/>
    </xf>
    <xf borderId="0" fillId="0" fontId="6" numFmtId="0" xfId="0" applyAlignment="1" applyFont="1">
      <alignment readingOrder="0" vertical="bottom"/>
    </xf>
    <xf borderId="0" fillId="0" fontId="1" numFmtId="0" xfId="0" applyFont="1"/>
    <xf borderId="0" fillId="0" fontId="6" numFmtId="0" xfId="0" applyAlignment="1" applyFont="1">
      <alignment vertical="bottom"/>
    </xf>
    <xf borderId="0" fillId="2" fontId="1" numFmtId="0" xfId="0" applyAlignment="1" applyFill="1" applyFont="1">
      <alignment readingOrder="0"/>
    </xf>
    <xf borderId="0" fillId="2" fontId="1" numFmtId="0" xfId="0" applyFont="1"/>
    <xf borderId="1" fillId="3" fontId="6" numFmtId="0" xfId="0" applyAlignment="1" applyBorder="1" applyFill="1" applyFont="1">
      <alignment vertical="bottom"/>
    </xf>
    <xf borderId="2" fillId="3" fontId="8" numFmtId="0" xfId="0" applyAlignment="1" applyBorder="1" applyFont="1">
      <alignment horizontal="center" vertical="bottom"/>
    </xf>
    <xf borderId="3" fillId="0" fontId="9" numFmtId="0" xfId="0" applyBorder="1" applyFont="1"/>
    <xf borderId="4" fillId="0" fontId="9" numFmtId="0" xfId="0" applyBorder="1" applyFont="1"/>
    <xf borderId="3" fillId="3" fontId="8" numFmtId="0" xfId="0" applyAlignment="1" applyBorder="1" applyFont="1">
      <alignment horizontal="center" vertical="bottom"/>
    </xf>
    <xf borderId="5" fillId="0" fontId="9" numFmtId="0" xfId="0" applyBorder="1" applyFont="1"/>
    <xf borderId="6" fillId="3" fontId="6" numFmtId="0" xfId="0" applyAlignment="1" applyBorder="1" applyFont="1">
      <alignment vertical="bottom"/>
    </xf>
    <xf borderId="7" fillId="3" fontId="8" numFmtId="0" xfId="0" applyAlignment="1" applyBorder="1" applyFont="1">
      <alignment horizontal="center" shrinkToFit="0" vertical="bottom" wrapText="1"/>
    </xf>
    <xf borderId="8" fillId="3" fontId="8" numFmtId="0" xfId="0" applyAlignment="1" applyBorder="1" applyFont="1">
      <alignment horizontal="center" shrinkToFit="0" vertical="bottom" wrapText="1"/>
    </xf>
    <xf borderId="9" fillId="3" fontId="8" numFmtId="0" xfId="0" applyAlignment="1" applyBorder="1" applyFont="1">
      <alignment horizontal="center" shrinkToFit="0" vertical="bottom" wrapText="1"/>
    </xf>
    <xf borderId="10" fillId="0" fontId="10" numFmtId="0" xfId="0" applyAlignment="1" applyBorder="1" applyFont="1">
      <alignment readingOrder="0" shrinkToFit="0" vertical="bottom" wrapText="0"/>
    </xf>
    <xf borderId="11" fillId="0" fontId="10" numFmtId="0" xfId="0" applyAlignment="1" applyBorder="1" applyFont="1">
      <alignment horizontal="right" readingOrder="0" shrinkToFit="0" vertical="bottom" wrapText="0"/>
    </xf>
    <xf borderId="12" fillId="0" fontId="10" numFmtId="0" xfId="0" applyAlignment="1" applyBorder="1" applyFont="1">
      <alignment horizontal="right" readingOrder="0" shrinkToFit="0" vertical="bottom" wrapText="0"/>
    </xf>
    <xf borderId="13" fillId="0" fontId="10" numFmtId="0" xfId="0" applyAlignment="1" applyBorder="1" applyFont="1">
      <alignment horizontal="right" readingOrder="0" shrinkToFit="0" vertical="bottom" wrapText="0"/>
    </xf>
    <xf borderId="14" fillId="0" fontId="10" numFmtId="0" xfId="0" applyAlignment="1" applyBorder="1" applyFont="1">
      <alignment readingOrder="0" shrinkToFit="0" vertical="bottom" wrapText="0"/>
    </xf>
    <xf borderId="0" fillId="0" fontId="11" numFmtId="0" xfId="0" applyAlignment="1" applyFont="1">
      <alignment readingOrder="0"/>
    </xf>
    <xf borderId="0" fillId="0" fontId="3" numFmtId="0" xfId="0" applyAlignment="1" applyFont="1">
      <alignment vertical="bottom"/>
    </xf>
    <xf borderId="0" fillId="0" fontId="8" numFmtId="0" xfId="0" applyAlignment="1" applyFont="1">
      <alignment horizontal="center" vertical="bottom"/>
    </xf>
    <xf borderId="0" fillId="0" fontId="12" numFmtId="0" xfId="0" applyFont="1"/>
    <xf borderId="15" fillId="3" fontId="8" numFmtId="0" xfId="0" applyAlignment="1" applyBorder="1" applyFont="1">
      <alignment horizontal="center" vertical="bottom"/>
    </xf>
    <xf borderId="16" fillId="0" fontId="9" numFmtId="0" xfId="0" applyBorder="1" applyFont="1"/>
    <xf borderId="9" fillId="0" fontId="9" numFmtId="0" xfId="0" applyBorder="1" applyFont="1"/>
    <xf borderId="0" fillId="4" fontId="13" numFmtId="164" xfId="0" applyAlignment="1" applyFill="1" applyFont="1" applyNumberFormat="1">
      <alignment horizontal="center" readingOrder="0"/>
    </xf>
    <xf borderId="0" fillId="0" fontId="14" numFmtId="0" xfId="0" applyFont="1"/>
    <xf borderId="7" fillId="3" fontId="8" numFmtId="0" xfId="0" applyAlignment="1" applyBorder="1" applyFont="1">
      <alignment horizontal="center" readingOrder="0" shrinkToFit="0" vertical="bottom" wrapText="1"/>
    </xf>
    <xf borderId="0" fillId="0" fontId="15" numFmtId="0" xfId="0" applyAlignment="1" applyFont="1">
      <alignment horizontal="center" readingOrder="0" shrinkToFit="0" wrapText="1"/>
    </xf>
    <xf borderId="17" fillId="0" fontId="10" numFmtId="0" xfId="0" applyAlignment="1" applyBorder="1" applyFont="1">
      <alignment horizontal="right" readingOrder="0" shrinkToFit="0" vertical="bottom" wrapText="0"/>
    </xf>
    <xf borderId="18" fillId="0" fontId="10" numFmtId="0" xfId="0" applyAlignment="1" applyBorder="1" applyFont="1">
      <alignment horizontal="right" readingOrder="0" shrinkToFit="0" vertical="bottom" wrapText="0"/>
    </xf>
    <xf borderId="18" fillId="0" fontId="6" numFmtId="0" xfId="0" applyAlignment="1" applyBorder="1" applyFont="1">
      <alignment horizontal="right" vertical="bottom"/>
    </xf>
    <xf borderId="18" fillId="0" fontId="6" numFmtId="0" xfId="0" applyAlignment="1" applyBorder="1" applyFont="1">
      <alignment vertical="bottom"/>
    </xf>
    <xf borderId="0" fillId="0" fontId="16" numFmtId="0" xfId="0" applyAlignment="1" applyFont="1">
      <alignment vertical="bottom"/>
    </xf>
    <xf borderId="0" fillId="0" fontId="17" numFmtId="0" xfId="0" applyAlignment="1" applyFont="1">
      <alignment horizontal="center" readingOrder="0"/>
    </xf>
    <xf borderId="0" fillId="0" fontId="17" numFmtId="0" xfId="0" applyAlignment="1" applyFont="1">
      <alignment horizontal="right" readingOrder="0"/>
    </xf>
    <xf borderId="0" fillId="0" fontId="15" numFmtId="0" xfId="0" applyAlignment="1" applyFont="1">
      <alignment horizontal="center" readingOrder="0"/>
    </xf>
    <xf borderId="2" fillId="0" fontId="18" numFmtId="0" xfId="0" applyAlignment="1" applyBorder="1" applyFont="1">
      <alignment horizontal="center"/>
    </xf>
    <xf borderId="16" fillId="0" fontId="19" numFmtId="0" xfId="0" applyAlignment="1" applyBorder="1" applyFont="1">
      <alignment horizontal="center" readingOrder="0" vertical="bottom"/>
    </xf>
    <xf borderId="19" fillId="0" fontId="9" numFmtId="0" xfId="0" applyBorder="1" applyFont="1"/>
    <xf borderId="20" fillId="0" fontId="9" numFmtId="0" xfId="0" applyBorder="1" applyFont="1"/>
    <xf borderId="20" fillId="0" fontId="19" numFmtId="0" xfId="0" applyAlignment="1" applyBorder="1" applyFont="1">
      <alignment horizontal="center" readingOrder="0" vertical="bottom"/>
    </xf>
    <xf borderId="7" fillId="0" fontId="19" numFmtId="0" xfId="0" applyAlignment="1" applyBorder="1" applyFont="1">
      <alignment horizontal="center" readingOrder="0" vertical="bottom"/>
    </xf>
    <xf borderId="21" fillId="0" fontId="19" numFmtId="0" xfId="0" applyAlignment="1" applyBorder="1" applyFont="1">
      <alignment horizontal="left" readingOrder="0" vertical="top"/>
    </xf>
    <xf borderId="22" fillId="0" fontId="19" numFmtId="0" xfId="0" applyAlignment="1" applyBorder="1" applyFont="1">
      <alignment horizontal="left" readingOrder="0" vertical="top"/>
    </xf>
    <xf borderId="22" fillId="0" fontId="19" numFmtId="9" xfId="0" applyAlignment="1" applyBorder="1" applyFont="1" applyNumberFormat="1">
      <alignment horizontal="right" readingOrder="0" shrinkToFit="0" vertical="top" wrapText="0"/>
    </xf>
    <xf borderId="5" fillId="0" fontId="19" numFmtId="9" xfId="0" applyAlignment="1" applyBorder="1" applyFont="1" applyNumberFormat="1">
      <alignment horizontal="right" readingOrder="0" shrinkToFit="0" vertical="top" wrapText="0"/>
    </xf>
    <xf borderId="21" fillId="0" fontId="9" numFmtId="0" xfId="0" applyBorder="1" applyFont="1"/>
    <xf borderId="23" fillId="0" fontId="19" numFmtId="0" xfId="0" applyAlignment="1" applyBorder="1" applyFont="1">
      <alignment horizontal="left" readingOrder="0" vertical="top"/>
    </xf>
    <xf borderId="23" fillId="0" fontId="19" numFmtId="9" xfId="0" applyAlignment="1" applyBorder="1" applyFont="1" applyNumberFormat="1">
      <alignment horizontal="right" readingOrder="0" shrinkToFit="0" vertical="top" wrapText="0"/>
    </xf>
    <xf borderId="24" fillId="0" fontId="19" numFmtId="9" xfId="0" applyAlignment="1" applyBorder="1" applyFont="1" applyNumberFormat="1">
      <alignment horizontal="right" readingOrder="0" shrinkToFit="0" vertical="top" wrapText="0"/>
    </xf>
    <xf borderId="25" fillId="0" fontId="19" numFmtId="0" xfId="0" applyAlignment="1" applyBorder="1" applyFont="1">
      <alignment horizontal="left" readingOrder="0" vertical="top"/>
    </xf>
    <xf borderId="25" fillId="0" fontId="19" numFmtId="9" xfId="0" applyAlignment="1" applyBorder="1" applyFont="1" applyNumberFormat="1">
      <alignment horizontal="right" readingOrder="0" shrinkToFit="0" vertical="top" wrapText="0"/>
    </xf>
    <xf borderId="20" fillId="0" fontId="19" numFmtId="9" xfId="0" applyAlignment="1" applyBorder="1" applyFont="1" applyNumberFormat="1">
      <alignment horizontal="right" readingOrder="0" shrinkToFit="0" vertical="top" wrapText="0"/>
    </xf>
    <xf borderId="0" fillId="0" fontId="20" numFmtId="0" xfId="0" applyFont="1"/>
    <xf borderId="0" fillId="0" fontId="21" numFmtId="0" xfId="0" applyAlignment="1" applyFont="1">
      <alignment horizontal="center" readingOrder="0" shrinkToFit="0" vertical="bottom" wrapText="0"/>
    </xf>
    <xf borderId="0" fillId="0" fontId="21" numFmtId="0" xfId="0" applyAlignment="1" applyFont="1">
      <alignment horizontal="center" shrinkToFit="0" vertical="bottom" wrapText="0"/>
    </xf>
    <xf borderId="0" fillId="3" fontId="6" numFmtId="0" xfId="0" applyAlignment="1" applyFont="1">
      <alignment vertical="bottom"/>
    </xf>
    <xf borderId="0" fillId="3" fontId="8" numFmtId="0" xfId="0" applyAlignment="1" applyFont="1">
      <alignment horizontal="center" vertical="bottom"/>
    </xf>
    <xf borderId="0" fillId="0" fontId="10" numFmtId="0" xfId="0" applyAlignment="1" applyFont="1">
      <alignment readingOrder="0" shrinkToFit="0" vertical="bottom" wrapText="0"/>
    </xf>
    <xf borderId="0" fillId="0" fontId="22" numFmtId="0" xfId="0" applyAlignment="1" applyFont="1">
      <alignment readingOrder="0" shrinkToFit="0" vertical="bottom" wrapText="0"/>
    </xf>
    <xf borderId="13" fillId="0" fontId="21" numFmtId="0" xfId="0" applyAlignment="1" applyBorder="1" applyFont="1">
      <alignment horizontal="right" readingOrder="0" shrinkToFit="0" vertical="bottom" wrapText="0"/>
    </xf>
    <xf borderId="0" fillId="5" fontId="3" numFmtId="0" xfId="0" applyAlignment="1" applyFill="1" applyFont="1">
      <alignment readingOrder="0" vertical="top"/>
    </xf>
    <xf borderId="0" fillId="0" fontId="3" numFmtId="0" xfId="0" applyAlignment="1" applyFont="1">
      <alignment readingOrder="0" shrinkToFit="0" vertical="bottom" wrapText="0"/>
    </xf>
    <xf borderId="0" fillId="0" fontId="10" numFmtId="0" xfId="0" applyAlignment="1" applyFont="1">
      <alignment readingOrder="0" vertical="top"/>
    </xf>
    <xf borderId="0" fillId="0" fontId="10" numFmtId="0" xfId="0" applyAlignment="1" applyFont="1">
      <alignment shrinkToFit="0" vertical="bottom" wrapText="0"/>
    </xf>
    <xf borderId="0" fillId="0" fontId="21" numFmtId="0" xfId="0" applyAlignment="1" applyFont="1">
      <alignment readingOrder="0" shrinkToFit="0" vertical="bottom" wrapText="0"/>
    </xf>
    <xf borderId="0" fillId="0" fontId="21" numFmtId="0" xfId="0" applyAlignment="1" applyFont="1">
      <alignment horizontal="right" readingOrder="0" shrinkToFit="0" vertical="bottom" wrapText="0"/>
    </xf>
    <xf borderId="0" fillId="6" fontId="23" numFmtId="0" xfId="0" applyAlignment="1" applyFill="1" applyFont="1">
      <alignment readingOrder="0" vertical="top"/>
    </xf>
    <xf borderId="0" fillId="7" fontId="10" numFmtId="0" xfId="0" applyAlignment="1" applyFill="1" applyFont="1">
      <alignment readingOrder="0" shrinkToFit="0" vertical="bottom" wrapText="0"/>
    </xf>
    <xf borderId="0" fillId="0" fontId="10" numFmtId="0" xfId="0" applyAlignment="1" applyFont="1">
      <alignment horizontal="right" readingOrder="0" shrinkToFit="0" vertical="bottom" wrapText="0"/>
    </xf>
    <xf borderId="0" fillId="8" fontId="10" numFmtId="0" xfId="0" applyAlignment="1" applyFill="1" applyFont="1">
      <alignment readingOrder="0" shrinkToFit="0" vertical="bottom" wrapText="0"/>
    </xf>
    <xf borderId="0" fillId="3" fontId="8" numFmtId="0" xfId="0" applyAlignment="1" applyFont="1">
      <alignment horizontal="center" shrinkToFit="0" vertical="bottom" wrapText="1"/>
    </xf>
    <xf borderId="7" fillId="0" fontId="21" numFmtId="0" xfId="0" applyAlignment="1" applyBorder="1" applyFont="1">
      <alignment readingOrder="0" shrinkToFit="0" vertical="bottom" wrapText="0"/>
    </xf>
    <xf borderId="7" fillId="0" fontId="21" numFmtId="0" xfId="0" applyAlignment="1" applyBorder="1" applyFont="1">
      <alignment horizontal="right" readingOrder="0" shrinkToFit="0" vertical="bottom" wrapText="0"/>
    </xf>
    <xf borderId="0" fillId="2" fontId="10" numFmtId="0" xfId="0" applyAlignment="1" applyFont="1">
      <alignment readingOrder="0" shrinkToFit="0" vertical="bottom" wrapText="0"/>
    </xf>
    <xf borderId="0" fillId="9" fontId="10" numFmtId="0" xfId="0" applyAlignment="1" applyFill="1" applyFont="1">
      <alignment readingOrder="0" shrinkToFit="0" vertical="bottom" wrapText="0"/>
    </xf>
    <xf borderId="7" fillId="7" fontId="10" numFmtId="0" xfId="0" applyAlignment="1" applyBorder="1" applyFont="1">
      <alignment readingOrder="0" shrinkToFit="0" vertical="bottom" wrapText="0"/>
    </xf>
    <xf borderId="7" fillId="0" fontId="10" numFmtId="0" xfId="0" applyAlignment="1" applyBorder="1" applyFont="1">
      <alignment horizontal="right" readingOrder="0" shrinkToFit="0" vertical="bottom" wrapText="0"/>
    </xf>
    <xf borderId="0" fillId="10" fontId="10" numFmtId="0" xfId="0" applyAlignment="1" applyFill="1" applyFont="1">
      <alignment readingOrder="0" shrinkToFit="0" vertical="bottom" wrapText="0"/>
    </xf>
    <xf borderId="7" fillId="10" fontId="10" numFmtId="0" xfId="0" applyAlignment="1" applyBorder="1" applyFont="1">
      <alignment readingOrder="0" shrinkToFit="0" vertical="bottom" wrapText="0"/>
    </xf>
    <xf borderId="7" fillId="9" fontId="10" numFmtId="0" xfId="0" applyAlignment="1" applyBorder="1" applyFont="1">
      <alignment readingOrder="0" shrinkToFit="0" vertical="bottom" wrapText="0"/>
    </xf>
    <xf borderId="7" fillId="8" fontId="10" numFmtId="0" xfId="0" applyAlignment="1" applyBorder="1" applyFont="1">
      <alignment readingOrder="0" shrinkToFit="0" vertical="bottom" wrapText="0"/>
    </xf>
    <xf borderId="7" fillId="2" fontId="10" numFmtId="0" xfId="0" applyAlignment="1" applyBorder="1" applyFont="1">
      <alignment readingOrder="0" shrinkToFit="0" vertical="bottom" wrapText="0"/>
    </xf>
    <xf borderId="0" fillId="11" fontId="10" numFmtId="0" xfId="0" applyAlignment="1" applyFill="1" applyFont="1">
      <alignment readingOrder="0" shrinkToFit="0" vertical="bottom" wrapText="0"/>
    </xf>
    <xf borderId="0" fillId="0" fontId="2" numFmtId="0" xfId="0" applyFont="1"/>
    <xf borderId="15" fillId="3" fontId="13" numFmtId="0" xfId="0" applyAlignment="1" applyBorder="1" applyFont="1">
      <alignment horizontal="center" readingOrder="0" shrinkToFit="0" wrapText="1"/>
    </xf>
    <xf borderId="22" fillId="0" fontId="1" numFmtId="0" xfId="0" applyAlignment="1" applyBorder="1" applyFont="1">
      <alignment readingOrder="0"/>
    </xf>
    <xf borderId="21" fillId="0" fontId="1" numFmtId="0" xfId="0" applyAlignment="1" applyBorder="1" applyFont="1">
      <alignment readingOrder="0"/>
    </xf>
    <xf borderId="24" fillId="0" fontId="1" numFmtId="0" xfId="0" applyAlignment="1" applyBorder="1" applyFont="1">
      <alignment readingOrder="0"/>
    </xf>
    <xf borderId="0" fillId="0" fontId="12" numFmtId="0" xfId="0" applyAlignment="1" applyFont="1">
      <alignment readingOrder="0"/>
    </xf>
    <xf borderId="23" fillId="0" fontId="1" numFmtId="0" xfId="0" applyAlignment="1" applyBorder="1" applyFont="1">
      <alignment readingOrder="0"/>
    </xf>
    <xf borderId="21" fillId="0" fontId="12" numFmtId="0" xfId="0" applyAlignment="1" applyBorder="1" applyFont="1">
      <alignment readingOrder="0"/>
    </xf>
    <xf borderId="23" fillId="0" fontId="12" numFmtId="0" xfId="0" applyAlignment="1" applyBorder="1" applyFont="1">
      <alignment readingOrder="0"/>
    </xf>
    <xf borderId="25" fillId="0" fontId="1" numFmtId="0" xfId="0" applyAlignment="1" applyBorder="1" applyFont="1">
      <alignment readingOrder="0"/>
    </xf>
    <xf borderId="19" fillId="0" fontId="1" numFmtId="0" xfId="0" applyAlignment="1" applyBorder="1" applyFont="1">
      <alignment readingOrder="0"/>
    </xf>
    <xf borderId="26" fillId="0" fontId="1" numFmtId="0" xfId="0" applyAlignment="1" applyBorder="1" applyFont="1">
      <alignment readingOrder="0"/>
    </xf>
    <xf borderId="20" fillId="0" fontId="1" numFmtId="0" xfId="0" applyAlignment="1" applyBorder="1" applyFont="1">
      <alignment readingOrder="0"/>
    </xf>
    <xf borderId="0" fillId="0" fontId="1" numFmtId="10" xfId="0" applyAlignment="1" applyFont="1" applyNumberFormat="1">
      <alignment readingOrder="0"/>
    </xf>
    <xf borderId="0" fillId="0" fontId="24" numFmtId="0" xfId="0" applyAlignment="1" applyFont="1">
      <alignment horizontal="center" readingOrder="0"/>
    </xf>
    <xf borderId="7" fillId="3" fontId="8" numFmtId="164" xfId="0" applyAlignment="1" applyBorder="1" applyFont="1" applyNumberFormat="1">
      <alignment horizontal="center" readingOrder="0" shrinkToFit="0" vertical="bottom" wrapText="1"/>
    </xf>
    <xf borderId="0" fillId="0" fontId="25" numFmtId="0" xfId="0" applyAlignment="1" applyFont="1">
      <alignment horizontal="center" readingOrder="0"/>
    </xf>
    <xf borderId="20" fillId="0" fontId="19" numFmtId="0" xfId="0" applyAlignment="1" applyBorder="1" applyFont="1">
      <alignment horizontal="center" readingOrder="0" shrinkToFit="0" vertical="bottom" wrapText="1"/>
    </xf>
    <xf borderId="7" fillId="0" fontId="19" numFmtId="0" xfId="0" applyAlignment="1" applyBorder="1" applyFont="1">
      <alignment horizontal="center" readingOrder="0" shrinkToFit="0" vertical="bottom" wrapText="1"/>
    </xf>
    <xf borderId="24" fillId="0" fontId="19" numFmtId="0" xfId="0" applyAlignment="1" applyBorder="1" applyFont="1">
      <alignment horizontal="left" readingOrder="0" vertical="top"/>
    </xf>
    <xf borderId="20" fillId="0" fontId="19" numFmtId="0" xfId="0" applyAlignment="1" applyBorder="1" applyFont="1">
      <alignment horizontal="left" readingOrder="0" vertical="top"/>
    </xf>
    <xf borderId="7" fillId="0" fontId="10" numFmtId="0" xfId="0" applyAlignment="1" applyBorder="1" applyFont="1">
      <alignment readingOrder="0" shrinkToFit="0" vertical="bottom" wrapText="0"/>
    </xf>
    <xf borderId="0" fillId="0" fontId="26" numFmtId="0" xfId="0" applyAlignment="1" applyFont="1">
      <alignment readingOrder="0"/>
    </xf>
    <xf borderId="0" fillId="0" fontId="2" numFmtId="0" xfId="0" applyFont="1"/>
    <xf borderId="0" fillId="8" fontId="5" numFmtId="0" xfId="0" applyAlignment="1" applyFont="1">
      <alignment readingOrder="0"/>
    </xf>
    <xf borderId="21" fillId="8" fontId="12" numFmtId="0" xfId="0" applyAlignment="1" applyBorder="1" applyFont="1">
      <alignment readingOrder="0"/>
    </xf>
    <xf borderId="0" fillId="8" fontId="12" numFmtId="0" xfId="0" applyAlignment="1" applyFont="1">
      <alignment readingOrder="0"/>
    </xf>
    <xf borderId="24" fillId="8" fontId="12" numFmtId="0" xfId="0" applyAlignment="1" applyBorder="1" applyFont="1">
      <alignment readingOrder="0"/>
    </xf>
    <xf borderId="0" fillId="8" fontId="2" numFmtId="0" xfId="0" applyAlignment="1" applyFont="1">
      <alignment readingOrder="0"/>
    </xf>
    <xf borderId="21" fillId="8" fontId="1" numFmtId="0" xfId="0" applyAlignment="1" applyBorder="1" applyFont="1">
      <alignment readingOrder="0"/>
    </xf>
    <xf borderId="0" fillId="8" fontId="1" numFmtId="0" xfId="0" applyAlignment="1" applyFont="1">
      <alignment readingOrder="0"/>
    </xf>
    <xf borderId="24" fillId="8" fontId="1" numFmtId="0" xfId="0" applyAlignment="1" applyBorder="1" applyFont="1">
      <alignment readingOrder="0"/>
    </xf>
    <xf borderId="15" fillId="8" fontId="12" numFmtId="0" xfId="0" applyAlignment="1" applyBorder="1" applyFont="1">
      <alignment readingOrder="0"/>
    </xf>
    <xf borderId="15" fillId="8" fontId="12" numFmtId="0" xfId="0" applyBorder="1" applyFont="1"/>
    <xf borderId="16" fillId="8" fontId="12" numFmtId="0" xfId="0" applyBorder="1" applyFont="1"/>
    <xf borderId="9" fillId="8" fontId="12" numFmtId="0" xfId="0" applyBorder="1" applyFont="1"/>
    <xf borderId="0" fillId="9" fontId="5" numFmtId="0" xfId="0" applyAlignment="1" applyFont="1">
      <alignment readingOrder="0"/>
    </xf>
    <xf borderId="21" fillId="9" fontId="1" numFmtId="0" xfId="0" applyAlignment="1" applyBorder="1" applyFont="1">
      <alignment readingOrder="0"/>
    </xf>
    <xf borderId="0" fillId="9" fontId="1" numFmtId="0" xfId="0" applyAlignment="1" applyFont="1">
      <alignment readingOrder="0"/>
    </xf>
    <xf borderId="24" fillId="9" fontId="1" numFmtId="0" xfId="0" applyAlignment="1" applyBorder="1" applyFont="1">
      <alignment readingOrder="0"/>
    </xf>
    <xf borderId="15" fillId="9" fontId="12" numFmtId="0" xfId="0" applyAlignment="1" applyBorder="1" applyFont="1">
      <alignment readingOrder="0"/>
    </xf>
    <xf borderId="15" fillId="9" fontId="12" numFmtId="0" xfId="0" applyBorder="1" applyFont="1"/>
    <xf borderId="16" fillId="9" fontId="12" numFmtId="0" xfId="0" applyBorder="1" applyFont="1"/>
    <xf borderId="9" fillId="9" fontId="12" numFmtId="0" xfId="0" applyBorder="1" applyFont="1"/>
    <xf borderId="0" fillId="11" fontId="5" numFmtId="0" xfId="0" applyAlignment="1" applyFont="1">
      <alignment readingOrder="0"/>
    </xf>
    <xf borderId="21" fillId="11" fontId="12" numFmtId="0" xfId="0" applyAlignment="1" applyBorder="1" applyFont="1">
      <alignment readingOrder="0"/>
    </xf>
    <xf borderId="0" fillId="11" fontId="12" numFmtId="0" xfId="0" applyAlignment="1" applyFont="1">
      <alignment readingOrder="0"/>
    </xf>
    <xf borderId="24" fillId="11" fontId="12" numFmtId="0" xfId="0" applyAlignment="1" applyBorder="1" applyFont="1">
      <alignment readingOrder="0"/>
    </xf>
    <xf borderId="0" fillId="11" fontId="2" numFmtId="0" xfId="0" applyAlignment="1" applyFont="1">
      <alignment readingOrder="0"/>
    </xf>
    <xf borderId="21" fillId="11" fontId="1" numFmtId="0" xfId="0" applyAlignment="1" applyBorder="1" applyFont="1">
      <alignment readingOrder="0"/>
    </xf>
    <xf borderId="0" fillId="11" fontId="1" numFmtId="0" xfId="0" applyAlignment="1" applyFont="1">
      <alignment readingOrder="0"/>
    </xf>
    <xf borderId="24" fillId="11" fontId="1" numFmtId="0" xfId="0" applyAlignment="1" applyBorder="1" applyFont="1">
      <alignment readingOrder="0"/>
    </xf>
    <xf borderId="15" fillId="11" fontId="12" numFmtId="0" xfId="0" applyAlignment="1" applyBorder="1" applyFont="1">
      <alignment readingOrder="0"/>
    </xf>
    <xf borderId="15" fillId="11" fontId="12" numFmtId="0" xfId="0" applyBorder="1" applyFont="1"/>
    <xf borderId="16" fillId="11" fontId="12" numFmtId="0" xfId="0" applyBorder="1" applyFont="1"/>
    <xf borderId="9" fillId="11" fontId="12" numFmtId="0" xfId="0" applyBorder="1" applyFont="1"/>
    <xf borderId="0" fillId="0" fontId="27" numFmtId="0" xfId="0" applyAlignment="1" applyFont="1">
      <alignment readingOrder="0"/>
    </xf>
    <xf borderId="0" fillId="12" fontId="28" numFmtId="0" xfId="0" applyAlignment="1" applyFill="1" applyFont="1">
      <alignment readingOrder="0"/>
    </xf>
    <xf borderId="0" fillId="12" fontId="1" numFmtId="0" xfId="0" applyFont="1"/>
    <xf borderId="2" fillId="13" fontId="13" numFmtId="0" xfId="0" applyAlignment="1" applyBorder="1" applyFill="1" applyFont="1">
      <alignment horizontal="center" readingOrder="0"/>
    </xf>
    <xf borderId="3" fillId="13" fontId="9" numFmtId="0" xfId="0" applyBorder="1" applyFont="1"/>
    <xf borderId="5" fillId="13" fontId="9" numFmtId="0" xfId="0" applyBorder="1" applyFont="1"/>
    <xf borderId="0" fillId="13" fontId="13" numFmtId="0" xfId="0" applyFont="1"/>
    <xf borderId="21" fillId="4" fontId="13" numFmtId="0" xfId="0" applyAlignment="1" applyBorder="1" applyFont="1">
      <alignment horizontal="center" readingOrder="0" shrinkToFit="0" wrapText="1"/>
    </xf>
    <xf borderId="0" fillId="4" fontId="13" numFmtId="0" xfId="0" applyAlignment="1" applyFont="1">
      <alignment horizontal="center" readingOrder="0" shrinkToFit="0" wrapText="1"/>
    </xf>
    <xf borderId="24" fillId="4" fontId="13" numFmtId="0" xfId="0" applyAlignment="1" applyBorder="1" applyFont="1">
      <alignment horizontal="center" readingOrder="0" shrinkToFit="0" wrapText="1"/>
    </xf>
    <xf borderId="22" fillId="4" fontId="13" numFmtId="0" xfId="0" applyAlignment="1" applyBorder="1" applyFont="1">
      <alignment horizontal="center" readingOrder="0" shrinkToFit="0" wrapText="1"/>
    </xf>
    <xf borderId="2" fillId="14" fontId="4" numFmtId="0" xfId="0" applyAlignment="1" applyBorder="1" applyFill="1" applyFont="1">
      <alignment readingOrder="0" vertical="center"/>
    </xf>
    <xf borderId="3" fillId="14" fontId="1" numFmtId="0" xfId="0" applyAlignment="1" applyBorder="1" applyFont="1">
      <alignment readingOrder="0"/>
    </xf>
    <xf borderId="2" fillId="14" fontId="1" numFmtId="0" xfId="0" applyAlignment="1" applyBorder="1" applyFont="1">
      <alignment readingOrder="0"/>
    </xf>
    <xf borderId="5" fillId="14" fontId="1" numFmtId="0" xfId="0" applyAlignment="1" applyBorder="1" applyFont="1">
      <alignment readingOrder="0"/>
    </xf>
    <xf borderId="22" fillId="14" fontId="1" numFmtId="0" xfId="0" applyAlignment="1" applyBorder="1" applyFont="1">
      <alignment readingOrder="0"/>
    </xf>
    <xf borderId="21" fillId="12" fontId="9" numFmtId="0" xfId="0" applyBorder="1" applyFont="1"/>
    <xf borderId="0" fillId="12" fontId="1" numFmtId="0" xfId="0" applyAlignment="1" applyFont="1">
      <alignment readingOrder="0"/>
    </xf>
    <xf borderId="21" fillId="12" fontId="1" numFmtId="0" xfId="0" applyAlignment="1" applyBorder="1" applyFont="1">
      <alignment readingOrder="0"/>
    </xf>
    <xf borderId="24" fillId="12" fontId="1" numFmtId="0" xfId="0" applyAlignment="1" applyBorder="1" applyFont="1">
      <alignment readingOrder="0"/>
    </xf>
    <xf borderId="23" fillId="12" fontId="1" numFmtId="0" xfId="0" applyAlignment="1" applyBorder="1" applyFont="1">
      <alignment readingOrder="0"/>
    </xf>
    <xf borderId="21" fillId="14" fontId="9" numFmtId="0" xfId="0" applyBorder="1" applyFont="1"/>
    <xf borderId="0" fillId="14" fontId="1" numFmtId="0" xfId="0" applyAlignment="1" applyFont="1">
      <alignment readingOrder="0"/>
    </xf>
    <xf borderId="21" fillId="14" fontId="1" numFmtId="0" xfId="0" applyAlignment="1" applyBorder="1" applyFont="1">
      <alignment readingOrder="0"/>
    </xf>
    <xf borderId="24" fillId="14" fontId="1" numFmtId="0" xfId="0" applyAlignment="1" applyBorder="1" applyFont="1">
      <alignment readingOrder="0"/>
    </xf>
    <xf borderId="23" fillId="14" fontId="1" numFmtId="0" xfId="0" applyAlignment="1" applyBorder="1" applyFont="1">
      <alignment readingOrder="0"/>
    </xf>
    <xf borderId="19" fillId="14" fontId="9" numFmtId="0" xfId="0" applyBorder="1" applyFont="1"/>
    <xf borderId="15" fillId="14" fontId="12" numFmtId="0" xfId="0" applyAlignment="1" applyBorder="1" applyFont="1">
      <alignment readingOrder="0"/>
    </xf>
    <xf borderId="16" fillId="14" fontId="12" numFmtId="0" xfId="0" applyAlignment="1" applyBorder="1" applyFont="1">
      <alignment readingOrder="0"/>
    </xf>
    <xf borderId="9" fillId="14" fontId="12" numFmtId="0" xfId="0" applyAlignment="1" applyBorder="1" applyFont="1">
      <alignment readingOrder="0"/>
    </xf>
    <xf borderId="7" fillId="14" fontId="12" numFmtId="0" xfId="0" applyAlignment="1" applyBorder="1" applyFont="1">
      <alignment readingOrder="0"/>
    </xf>
    <xf borderId="2" fillId="12" fontId="4" numFmtId="0" xfId="0" applyAlignment="1" applyBorder="1" applyFont="1">
      <alignment readingOrder="0" vertical="center"/>
    </xf>
    <xf borderId="3" fillId="12" fontId="1" numFmtId="0" xfId="0" applyAlignment="1" applyBorder="1" applyFont="1">
      <alignment readingOrder="0"/>
    </xf>
    <xf borderId="2" fillId="12" fontId="1" numFmtId="0" xfId="0" applyAlignment="1" applyBorder="1" applyFont="1">
      <alignment readingOrder="0"/>
    </xf>
    <xf borderId="5" fillId="12" fontId="1" numFmtId="0" xfId="0" applyAlignment="1" applyBorder="1" applyFont="1">
      <alignment readingOrder="0"/>
    </xf>
    <xf borderId="22" fillId="12" fontId="1" numFmtId="0" xfId="0" applyAlignment="1" applyBorder="1" applyFont="1">
      <alignment readingOrder="0"/>
    </xf>
    <xf borderId="19" fillId="12" fontId="9" numFmtId="0" xfId="0" applyBorder="1" applyFont="1"/>
    <xf borderId="15" fillId="12" fontId="12" numFmtId="0" xfId="0" applyAlignment="1" applyBorder="1" applyFont="1">
      <alignment readingOrder="0"/>
    </xf>
    <xf borderId="16" fillId="12" fontId="12" numFmtId="0" xfId="0" applyAlignment="1" applyBorder="1" applyFont="1">
      <alignment readingOrder="0"/>
    </xf>
    <xf borderId="9" fillId="12" fontId="12" numFmtId="0" xfId="0" applyAlignment="1" applyBorder="1" applyFont="1">
      <alignment readingOrder="0"/>
    </xf>
    <xf borderId="7" fillId="12" fontId="12" numFmtId="0" xfId="0" applyAlignment="1" applyBorder="1" applyFont="1">
      <alignment readingOrder="0"/>
    </xf>
    <xf borderId="26" fillId="12" fontId="12" numFmtId="0" xfId="0" applyAlignment="1" applyBorder="1" applyFont="1">
      <alignment readingOrder="0"/>
    </xf>
    <xf borderId="19" fillId="12" fontId="12" numFmtId="0" xfId="0" applyBorder="1" applyFont="1"/>
    <xf borderId="26" fillId="12" fontId="12" numFmtId="0" xfId="0" applyBorder="1" applyFont="1"/>
    <xf borderId="20" fillId="12" fontId="12" numFmtId="0" xfId="0" applyBorder="1" applyFont="1"/>
    <xf borderId="25" fillId="12" fontId="12" numFmtId="0" xfId="0" applyBorder="1" applyFont="1"/>
    <xf borderId="2" fillId="0" fontId="1" numFmtId="0" xfId="0" applyAlignment="1" applyBorder="1" applyFont="1">
      <alignment readingOrder="0"/>
    </xf>
    <xf borderId="3" fillId="0" fontId="1" numFmtId="0" xfId="0" applyAlignment="1" applyBorder="1" applyFont="1">
      <alignment readingOrder="0"/>
    </xf>
    <xf borderId="3" fillId="0" fontId="1" numFmtId="10" xfId="0" applyAlignment="1" applyBorder="1" applyFont="1" applyNumberFormat="1">
      <alignment readingOrder="0"/>
    </xf>
    <xf borderId="5" fillId="0" fontId="1" numFmtId="10" xfId="0" applyAlignment="1" applyBorder="1" applyFont="1" applyNumberFormat="1">
      <alignment readingOrder="0"/>
    </xf>
    <xf borderId="24" fillId="0" fontId="1" numFmtId="10" xfId="0" applyAlignment="1" applyBorder="1" applyFont="1" applyNumberFormat="1">
      <alignment readingOrder="0"/>
    </xf>
    <xf borderId="26" fillId="0" fontId="1" numFmtId="10" xfId="0" applyAlignment="1" applyBorder="1" applyFont="1" applyNumberFormat="1">
      <alignment readingOrder="0"/>
    </xf>
    <xf borderId="20" fillId="0" fontId="1" numFmtId="10" xfId="0" applyAlignment="1" applyBorder="1" applyFont="1" applyNumberFormat="1">
      <alignment readingOrder="0"/>
    </xf>
    <xf borderId="2" fillId="0" fontId="4" numFmtId="0" xfId="0" applyAlignment="1" applyBorder="1" applyFont="1">
      <alignment readingOrder="0"/>
    </xf>
    <xf borderId="15" fillId="14" fontId="4" numFmtId="0" xfId="0" applyAlignment="1" applyBorder="1" applyFont="1">
      <alignment readingOrder="0" vertical="center"/>
    </xf>
    <xf borderId="15" fillId="14" fontId="1" numFmtId="0" xfId="0" applyAlignment="1" applyBorder="1" applyFont="1">
      <alignment readingOrder="0"/>
    </xf>
    <xf borderId="16" fillId="14" fontId="1" numFmtId="0" xfId="0" applyAlignment="1" applyBorder="1" applyFont="1">
      <alignment readingOrder="0"/>
    </xf>
    <xf borderId="9" fillId="14" fontId="1" numFmtId="0" xfId="0" applyAlignment="1" applyBorder="1" applyFont="1">
      <alignment readingOrder="0"/>
    </xf>
    <xf borderId="15" fillId="12" fontId="4" numFmtId="0" xfId="0" applyAlignment="1" applyBorder="1" applyFont="1">
      <alignment readingOrder="0" vertical="center"/>
    </xf>
    <xf borderId="15" fillId="12" fontId="1" numFmtId="0" xfId="0" applyAlignment="1" applyBorder="1" applyFont="1">
      <alignment readingOrder="0"/>
    </xf>
    <xf borderId="16" fillId="12" fontId="1" numFmtId="0" xfId="0" applyAlignment="1" applyBorder="1" applyFont="1">
      <alignment readingOrder="0"/>
    </xf>
    <xf borderId="9" fillId="12" fontId="1" numFmtId="0" xfId="0" applyAlignment="1" applyBorder="1" applyFont="1">
      <alignment readingOrder="0"/>
    </xf>
    <xf borderId="26" fillId="14" fontId="12" numFmtId="0" xfId="0" applyAlignment="1" applyBorder="1" applyFont="1">
      <alignment readingOrder="0"/>
    </xf>
    <xf borderId="19" fillId="14" fontId="1" numFmtId="0" xfId="0" applyBorder="1" applyFont="1"/>
    <xf borderId="26" fillId="14" fontId="1" numFmtId="0" xfId="0" applyBorder="1" applyFont="1"/>
    <xf borderId="20" fillId="14" fontId="1" numFmtId="0" xfId="0" applyBorder="1" applyFont="1"/>
    <xf borderId="25" fillId="14" fontId="12" numFmtId="0" xfId="0" applyBorder="1" applyFont="1"/>
    <xf borderId="0" fillId="0" fontId="28" numFmtId="0" xfId="0" applyAlignment="1" applyFont="1">
      <alignment readingOrder="0"/>
    </xf>
    <xf borderId="0" fillId="0" fontId="4" numFmtId="0" xfId="0" applyFont="1"/>
    <xf borderId="2" fillId="14" fontId="7" numFmtId="0" xfId="0" applyAlignment="1" applyBorder="1" applyFont="1">
      <alignment readingOrder="0" vertical="center"/>
    </xf>
    <xf borderId="3" fillId="0" fontId="7" numFmtId="0" xfId="0" applyAlignment="1" applyBorder="1" applyFont="1">
      <alignment readingOrder="0"/>
    </xf>
    <xf borderId="2" fillId="0" fontId="12" numFmtId="0" xfId="0" applyAlignment="1" applyBorder="1" applyFont="1">
      <alignment readingOrder="0"/>
    </xf>
    <xf borderId="3" fillId="0" fontId="12" numFmtId="0" xfId="0" applyAlignment="1" applyBorder="1" applyFont="1">
      <alignment readingOrder="0"/>
    </xf>
    <xf borderId="5" fillId="0" fontId="12" numFmtId="0" xfId="0" applyAlignment="1" applyBorder="1" applyFont="1">
      <alignment readingOrder="0"/>
    </xf>
    <xf borderId="22" fillId="0" fontId="12" numFmtId="0" xfId="0" applyAlignment="1" applyBorder="1" applyFont="1">
      <alignment readingOrder="0"/>
    </xf>
    <xf borderId="0" fillId="14" fontId="7" numFmtId="0" xfId="0" applyAlignment="1" applyFont="1">
      <alignment readingOrder="0"/>
    </xf>
    <xf borderId="26" fillId="0" fontId="7" numFmtId="0" xfId="0" applyAlignment="1" applyBorder="1" applyFont="1">
      <alignment readingOrder="0"/>
    </xf>
    <xf borderId="19" fillId="0" fontId="12" numFmtId="0" xfId="0" applyAlignment="1" applyBorder="1" applyFont="1">
      <alignment readingOrder="0"/>
    </xf>
    <xf borderId="26" fillId="0" fontId="12" numFmtId="0" xfId="0" applyAlignment="1" applyBorder="1" applyFont="1">
      <alignment readingOrder="0"/>
    </xf>
    <xf borderId="20" fillId="0" fontId="12" numFmtId="0" xfId="0" applyAlignment="1" applyBorder="1" applyFont="1">
      <alignment readingOrder="0"/>
    </xf>
    <xf borderId="25" fillId="0" fontId="12" numFmtId="0" xfId="0" applyAlignment="1" applyBorder="1" applyFont="1">
      <alignment readingOrder="0"/>
    </xf>
    <xf borderId="2" fillId="0" fontId="7" numFmtId="0" xfId="0" applyAlignment="1" applyBorder="1" applyFont="1">
      <alignment readingOrder="0" vertical="center"/>
    </xf>
    <xf borderId="24" fillId="0" fontId="12" numFmtId="0" xfId="0" applyAlignment="1" applyBorder="1" applyFont="1">
      <alignment readingOrder="0"/>
    </xf>
    <xf borderId="15" fillId="14" fontId="7" numFmtId="0" xfId="0" applyAlignment="1" applyBorder="1" applyFont="1">
      <alignment readingOrder="0"/>
    </xf>
    <xf borderId="16" fillId="14" fontId="7" numFmtId="0" xfId="0" applyAlignment="1" applyBorder="1" applyFont="1">
      <alignment readingOrder="0"/>
    </xf>
    <xf borderId="7" fillId="14" fontId="1" numFmtId="0" xfId="0" applyAlignment="1" applyBorder="1" applyFont="1">
      <alignment readingOrder="0"/>
    </xf>
    <xf borderId="2" fillId="0" fontId="7" numFmtId="0" xfId="0" applyAlignment="1" applyBorder="1" applyFont="1">
      <alignment readingOrder="0" shrinkToFit="0" vertical="center" wrapText="1"/>
    </xf>
    <xf borderId="5" fillId="0" fontId="1" numFmtId="0" xfId="0" applyAlignment="1" applyBorder="1" applyFont="1">
      <alignment readingOrder="0"/>
    </xf>
    <xf borderId="0" fillId="0" fontId="1" numFmtId="9" xfId="0" applyAlignment="1" applyFont="1" applyNumberFormat="1">
      <alignment readingOrder="0"/>
    </xf>
    <xf borderId="0" fillId="12" fontId="29" numFmtId="0" xfId="0" applyAlignment="1" applyFont="1">
      <alignment vertical="bottom"/>
    </xf>
    <xf borderId="0" fillId="0" fontId="21" numFmtId="0" xfId="0" applyAlignment="1" applyFont="1">
      <alignment horizontal="center" readingOrder="0"/>
    </xf>
    <xf borderId="0" fillId="13" fontId="29" numFmtId="0" xfId="0" applyAlignment="1" applyFont="1">
      <alignment vertical="bottom"/>
    </xf>
    <xf borderId="0" fillId="0" fontId="21" numFmtId="0" xfId="0" applyAlignment="1" applyFont="1">
      <alignment readingOrder="0"/>
    </xf>
    <xf borderId="0" fillId="0" fontId="21" numFmtId="0" xfId="0" applyAlignment="1" applyFont="1">
      <alignment horizontal="right" readingOrder="0"/>
    </xf>
    <xf borderId="22" fillId="13" fontId="13" numFmtId="0" xfId="0" applyBorder="1" applyFont="1"/>
    <xf borderId="0" fillId="0" fontId="30" numFmtId="0" xfId="0" applyAlignment="1" applyFont="1">
      <alignment readingOrder="0"/>
    </xf>
    <xf borderId="0" fillId="0" fontId="31" numFmtId="0" xfId="0" applyAlignment="1" applyFont="1">
      <alignment shrinkToFit="0" wrapText="1"/>
    </xf>
    <xf borderId="7" fillId="0" fontId="31" numFmtId="0" xfId="0" applyAlignment="1" applyBorder="1" applyFont="1">
      <alignment readingOrder="0"/>
    </xf>
    <xf borderId="7" fillId="0" fontId="31" numFmtId="0" xfId="0" applyAlignment="1" applyBorder="1" applyFont="1">
      <alignment readingOrder="0" shrinkToFit="0" wrapText="1"/>
    </xf>
    <xf borderId="0" fillId="0" fontId="31" numFmtId="0" xfId="0" applyAlignment="1" applyFont="1">
      <alignment readingOrder="0"/>
    </xf>
    <xf borderId="7" fillId="0" fontId="32" numFmtId="0" xfId="0" applyAlignment="1" applyBorder="1" applyFont="1">
      <alignment horizontal="left" readingOrder="0"/>
    </xf>
    <xf borderId="7" fillId="0" fontId="32" numFmtId="0" xfId="0" applyAlignment="1" applyBorder="1" applyFont="1">
      <alignment horizontal="left" readingOrder="0" shrinkToFit="0" wrapText="1"/>
    </xf>
    <xf borderId="0" fillId="0" fontId="31" numFmtId="0" xfId="0" applyFont="1"/>
    <xf borderId="0" fillId="15" fontId="21" numFmtId="0" xfId="0" applyAlignment="1" applyFill="1" applyFont="1">
      <alignment readingOrder="0" vertical="bottom"/>
    </xf>
    <xf borderId="0" fillId="0" fontId="0" numFmtId="0" xfId="0" applyAlignment="1" applyFont="1">
      <alignment vertical="bottom"/>
    </xf>
    <xf borderId="0" fillId="16" fontId="21" numFmtId="0" xfId="0" applyAlignment="1" applyFill="1" applyFont="1">
      <alignment horizontal="center" readingOrder="0"/>
    </xf>
    <xf borderId="0" fillId="12" fontId="10" numFmtId="0" xfId="0" applyAlignment="1" applyFont="1">
      <alignment readingOrder="0" vertical="top"/>
    </xf>
    <xf borderId="0" fillId="12" fontId="21" numFmtId="0" xfId="0" applyAlignment="1" applyFont="1">
      <alignment readingOrder="0" vertical="top"/>
    </xf>
    <xf borderId="0" fillId="12" fontId="10" numFmtId="10" xfId="0" applyAlignment="1" applyFont="1" applyNumberFormat="1">
      <alignment readingOrder="0" vertical="top"/>
    </xf>
    <xf borderId="0" fillId="12" fontId="21" numFmtId="10" xfId="0" applyAlignment="1" applyFont="1" applyNumberFormat="1">
      <alignment readingOrder="0" vertical="top"/>
    </xf>
    <xf borderId="7" fillId="0" fontId="1" numFmtId="0" xfId="0" applyAlignment="1" applyBorder="1" applyFont="1">
      <alignment readingOrder="0"/>
    </xf>
    <xf borderId="7" fillId="0" fontId="1" numFmtId="0" xfId="0" applyAlignment="1" applyBorder="1" applyFont="1">
      <alignment readingOrder="0" shrinkToFit="0" wrapText="1"/>
    </xf>
  </cellXfs>
  <cellStyles count="1">
    <cellStyle xfId="0" name="Normal" builtinId="0"/>
  </cellStyles>
  <dxfs count="4">
    <dxf>
      <font>
        <color rgb="FFFFFFFF"/>
      </font>
      <fill>
        <patternFill patternType="solid">
          <fgColor rgb="FF990000"/>
          <bgColor rgb="FF990000"/>
        </patternFill>
      </fill>
      <border/>
    </dxf>
    <dxf>
      <font>
        <color rgb="FF000000"/>
      </font>
      <fill>
        <patternFill patternType="solid">
          <fgColor rgb="FFFFE599"/>
          <bgColor rgb="FFFFE599"/>
        </patternFill>
      </fill>
      <border/>
    </dxf>
    <dxf>
      <font>
        <color theme="1"/>
      </font>
      <fill>
        <patternFill patternType="solid">
          <fgColor rgb="FFB6D7A8"/>
          <bgColor rgb="FFB6D7A8"/>
        </patternFill>
      </fill>
      <border/>
    </dxf>
    <dx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Evaluación del Presidente Yamandú Orsi</a:t>
            </a:r>
          </a:p>
        </c:rich>
      </c:tx>
      <c:overlay val="0"/>
    </c:title>
    <c:plotArea>
      <c:layout/>
      <c:barChart>
        <c:barDir val="col"/>
        <c:grouping val="percentStacked"/>
        <c:ser>
          <c:idx val="0"/>
          <c:order val="0"/>
          <c:tx>
            <c:strRef>
              <c:f>'q1'!$B$9</c:f>
            </c:strRef>
          </c:tx>
          <c:spPr>
            <a:solidFill>
              <a:srgbClr val="CC0000"/>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'q1'!$C$6:$H$6</c:f>
            </c:strRef>
          </c:cat>
          <c:val>
            <c:numRef>
              <c:f>'q1'!$C$9:$H$9</c:f>
              <c:numCache/>
            </c:numRef>
          </c:val>
        </c:ser>
        <c:ser>
          <c:idx val="1"/>
          <c:order val="1"/>
          <c:tx>
            <c:strRef>
              <c:f>'q1'!$B$8</c:f>
            </c:strRef>
          </c:tx>
          <c:spPr>
            <a:solidFill>
              <a:srgbClr val="FFE599"/>
            </a:solidFill>
            <a:ln cmpd="sng">
              <a:solidFill>
                <a:srgbClr val="000000"/>
              </a:solidFill>
            </a:ln>
          </c:spPr>
          <c:dPt>
            <c:idx val="3"/>
          </c:dPt>
          <c:dLbls>
            <c:numFmt formatCode="General" sourceLinked="1"/>
            <c:txPr>
              <a:bodyPr/>
              <a:lstStyle/>
              <a:p>
                <a:pPr lvl="0">
                  <a:defRPr/>
                </a:pPr>
              </a:p>
            </c:txPr>
            <c:showLegendKey val="0"/>
            <c:showVal val="1"/>
            <c:showCatName val="0"/>
            <c:showSerName val="0"/>
            <c:showPercent val="0"/>
            <c:showBubbleSize val="0"/>
          </c:dLbls>
          <c:cat>
            <c:strRef>
              <c:f>'q1'!$C$6:$H$6</c:f>
            </c:strRef>
          </c:cat>
          <c:val>
            <c:numRef>
              <c:f>'q1'!$C$8:$H$8</c:f>
              <c:numCache/>
            </c:numRef>
          </c:val>
        </c:ser>
        <c:ser>
          <c:idx val="2"/>
          <c:order val="2"/>
          <c:tx>
            <c:strRef>
              <c:f>'q1'!$B$7</c:f>
            </c:strRef>
          </c:tx>
          <c:spPr>
            <a:solidFill>
              <a:srgbClr val="38761D"/>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'q1'!$C$6:$H$6</c:f>
            </c:strRef>
          </c:cat>
          <c:val>
            <c:numRef>
              <c:f>'q1'!$C$7:$H$7</c:f>
              <c:numCache/>
            </c:numRef>
          </c:val>
        </c:ser>
        <c:overlap val="100"/>
        <c:axId val="1025305038"/>
        <c:axId val="1213138922"/>
      </c:barChart>
      <c:catAx>
        <c:axId val="10253050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1213138922"/>
      </c:catAx>
      <c:valAx>
        <c:axId val="12131389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025305038"/>
      </c:valAx>
    </c:plotArea>
    <c:legend>
      <c:legendPos val="r"/>
      <c:layout>
        <c:manualLayout>
          <c:xMode val="edge"/>
          <c:yMode val="edge"/>
          <c:x val="0.7448106895465996"/>
          <c:y val="0.4214188730482009"/>
        </c:manualLayout>
      </c:layout>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Pensando en el desempeño que ha tenido hasta el momento el Presidente Yamandú Orsi ¿Ud…
</a:t>
            </a:r>
          </a:p>
        </c:rich>
      </c:tx>
      <c:overlay val="0"/>
    </c:title>
    <c:plotArea>
      <c:layout/>
      <c:barChart>
        <c:barDir val="col"/>
        <c:grouping val="percentStacked"/>
        <c:ser>
          <c:idx val="0"/>
          <c:order val="0"/>
          <c:tx>
            <c:strRef>
              <c:f>'Copia de q1'!$B$4</c:f>
            </c:strRef>
          </c:tx>
          <c:spPr>
            <a:solidFill>
              <a:srgbClr val="38761D"/>
            </a:solidFill>
            <a:ln cmpd="sng">
              <a:solidFill>
                <a:srgbClr val="FFFFFF">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'Copia de q1'!$C$3:$I$3</c:f>
            </c:strRef>
          </c:cat>
          <c:val>
            <c:numRef>
              <c:f>'Copia de q1'!$C$4:$I$4</c:f>
              <c:numCache/>
            </c:numRef>
          </c:val>
        </c:ser>
        <c:ser>
          <c:idx val="1"/>
          <c:order val="1"/>
          <c:tx>
            <c:strRef>
              <c:f>'Copia de q1'!$B$5</c:f>
            </c:strRef>
          </c:tx>
          <c:spPr>
            <a:solidFill>
              <a:srgbClr val="FFF2CC"/>
            </a:solidFill>
            <a:ln cmpd="sng">
              <a:solidFill>
                <a:srgbClr val="FFFFFF">
                  <a:alpha val="100000"/>
                </a:srgbClr>
              </a:solidFill>
            </a:ln>
          </c:spPr>
          <c:dPt>
            <c:idx val="3"/>
          </c:dPt>
          <c:dPt>
            <c:idx val="4"/>
          </c:dPt>
          <c:dLbls>
            <c:numFmt formatCode="General" sourceLinked="1"/>
            <c:txPr>
              <a:bodyPr/>
              <a:lstStyle/>
              <a:p>
                <a:pPr lvl="0">
                  <a:defRPr/>
                </a:pPr>
              </a:p>
            </c:txPr>
            <c:showLegendKey val="0"/>
            <c:showVal val="1"/>
            <c:showCatName val="0"/>
            <c:showSerName val="0"/>
            <c:showPercent val="0"/>
            <c:showBubbleSize val="0"/>
          </c:dLbls>
          <c:cat>
            <c:strRef>
              <c:f>'Copia de q1'!$C$3:$I$3</c:f>
            </c:strRef>
          </c:cat>
          <c:val>
            <c:numRef>
              <c:f>'Copia de q1'!$C$5:$I$5</c:f>
              <c:numCache/>
            </c:numRef>
          </c:val>
        </c:ser>
        <c:ser>
          <c:idx val="2"/>
          <c:order val="2"/>
          <c:tx>
            <c:strRef>
              <c:f>'Copia de q1'!$B$6</c:f>
            </c:strRef>
          </c:tx>
          <c:spPr>
            <a:solidFill>
              <a:srgbClr val="CC4125"/>
            </a:solidFill>
            <a:ln cmpd="sng">
              <a:solidFill>
                <a:schemeClr val="lt1"/>
              </a:solidFill>
            </a:ln>
          </c:spPr>
          <c:dLbls>
            <c:numFmt formatCode="General" sourceLinked="1"/>
            <c:txPr>
              <a:bodyPr/>
              <a:lstStyle/>
              <a:p>
                <a:pPr lvl="0">
                  <a:defRPr/>
                </a:pPr>
              </a:p>
            </c:txPr>
            <c:showLegendKey val="0"/>
            <c:showVal val="1"/>
            <c:showCatName val="0"/>
            <c:showSerName val="0"/>
            <c:showPercent val="0"/>
            <c:showBubbleSize val="0"/>
          </c:dLbls>
          <c:cat>
            <c:strRef>
              <c:f>'Copia de q1'!$C$3:$I$3</c:f>
            </c:strRef>
          </c:cat>
          <c:val>
            <c:numRef>
              <c:f>'Copia de q1'!$C$6:$I$6</c:f>
              <c:numCache/>
            </c:numRef>
          </c:val>
        </c:ser>
        <c:ser>
          <c:idx val="3"/>
          <c:order val="3"/>
          <c:tx>
            <c:strRef>
              <c:f>'Copia de q1'!$B$7</c:f>
            </c:strRef>
          </c:tx>
          <c:spPr>
            <a:solidFill>
              <a:srgbClr val="999999"/>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'Copia de q1'!$C$3:$I$3</c:f>
            </c:strRef>
          </c:cat>
          <c:val>
            <c:numRef>
              <c:f>'Copia de q1'!$C$7:$I$7</c:f>
              <c:numCache/>
            </c:numRef>
          </c:val>
        </c:ser>
        <c:overlap val="100"/>
        <c:axId val="1992120525"/>
        <c:axId val="2513555"/>
      </c:barChart>
      <c:catAx>
        <c:axId val="19921205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2513555"/>
      </c:catAx>
      <c:valAx>
        <c:axId val="25135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chemeClr val="lt1"/>
                </a:solidFill>
                <a:latin typeface="+mn-lt"/>
              </a:defRPr>
            </a:pPr>
          </a:p>
        </c:txPr>
        <c:crossAx val="1992120525"/>
      </c:valAx>
    </c:plotArea>
    <c:legend>
      <c:legendPos val="r"/>
      <c:layout>
        <c:manualLayout>
          <c:xMode val="edge"/>
          <c:yMode val="edge"/>
          <c:x val="0.7994869791666668"/>
          <c:y val="0.33939802336028746"/>
        </c:manualLayout>
      </c:layout>
      <c:overlay val="0"/>
      <c:txPr>
        <a:bodyPr/>
        <a:lstStyle/>
        <a:p>
          <a:pPr lvl="0">
            <a:defRPr b="0" sz="1400">
              <a:solidFill>
                <a:srgbClr val="1A1A1A"/>
              </a:solidFill>
              <a:latin typeface="+mn-lt"/>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Aprobación Y. Orsi vs Lacalle Pou 2025/2026</a:t>
            </a:r>
          </a:p>
        </c:rich>
      </c:tx>
      <c:overlay val="0"/>
    </c:title>
    <c:plotArea>
      <c:layout/>
      <c:barChart>
        <c:barDir val="col"/>
        <c:grouping val="percentStacked"/>
        <c:ser>
          <c:idx val="0"/>
          <c:order val="0"/>
          <c:tx>
            <c:strRef>
              <c:f>'Copia de q1'!$A$11</c:f>
            </c:strRef>
          </c:tx>
          <c:spPr>
            <a:solidFill>
              <a:srgbClr val="38761D"/>
            </a:solidFill>
            <a:ln cmpd="sng">
              <a:solidFill>
                <a:srgbClr val="FFFFFF">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'Copia de q1'!$B$10:$E$10</c:f>
            </c:strRef>
          </c:cat>
          <c:val>
            <c:numRef>
              <c:f>'Copia de q1'!$B$11:$E$11</c:f>
              <c:numCache/>
            </c:numRef>
          </c:val>
        </c:ser>
        <c:ser>
          <c:idx val="1"/>
          <c:order val="1"/>
          <c:tx>
            <c:strRef>
              <c:f>'Copia de q1'!$A$12</c:f>
            </c:strRef>
          </c:tx>
          <c:spPr>
            <a:solidFill>
              <a:srgbClr val="FFF2CC"/>
            </a:solidFill>
            <a:ln cmpd="sng">
              <a:solidFill>
                <a:srgbClr val="FFFFFF">
                  <a:alpha val="100000"/>
                </a:srgbClr>
              </a:solidFill>
            </a:ln>
          </c:spPr>
          <c:dPt>
            <c:idx val="3"/>
          </c:dPt>
          <c:dPt>
            <c:idx val="4"/>
          </c:dPt>
          <c:dLbls>
            <c:numFmt formatCode="General" sourceLinked="1"/>
            <c:txPr>
              <a:bodyPr/>
              <a:lstStyle/>
              <a:p>
                <a:pPr lvl="0">
                  <a:defRPr/>
                </a:pPr>
              </a:p>
            </c:txPr>
            <c:showLegendKey val="0"/>
            <c:showVal val="1"/>
            <c:showCatName val="0"/>
            <c:showSerName val="0"/>
            <c:showPercent val="0"/>
            <c:showBubbleSize val="0"/>
          </c:dLbls>
          <c:cat>
            <c:strRef>
              <c:f>'Copia de q1'!$B$10:$E$10</c:f>
            </c:strRef>
          </c:cat>
          <c:val>
            <c:numRef>
              <c:f>'Copia de q1'!$B$12:$E$12</c:f>
              <c:numCache/>
            </c:numRef>
          </c:val>
        </c:ser>
        <c:ser>
          <c:idx val="2"/>
          <c:order val="2"/>
          <c:tx>
            <c:strRef>
              <c:f>'Copia de q1'!$A$13</c:f>
            </c:strRef>
          </c:tx>
          <c:spPr>
            <a:solidFill>
              <a:srgbClr val="CC4125"/>
            </a:solidFill>
            <a:ln cmpd="sng">
              <a:solidFill>
                <a:srgbClr val="FFFFFF">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'Copia de q1'!$B$10:$E$10</c:f>
            </c:strRef>
          </c:cat>
          <c:val>
            <c:numRef>
              <c:f>'Copia de q1'!$B$13:$E$13</c:f>
              <c:numCache/>
            </c:numRef>
          </c:val>
        </c:ser>
        <c:ser>
          <c:idx val="3"/>
          <c:order val="3"/>
          <c:tx>
            <c:strRef>
              <c:f>'Copia de q1'!$A$14</c:f>
            </c:strRef>
          </c:tx>
          <c:spPr>
            <a:solidFill>
              <a:srgbClr val="999999"/>
            </a:solidFill>
            <a:ln cmpd="sng">
              <a:solidFill>
                <a:srgbClr val="FFFFFF">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'Copia de q1'!$B$10:$E$10</c:f>
            </c:strRef>
          </c:cat>
          <c:val>
            <c:numRef>
              <c:f>'Copia de q1'!$B$14:$E$14</c:f>
              <c:numCache/>
            </c:numRef>
          </c:val>
        </c:ser>
        <c:overlap val="100"/>
        <c:axId val="1074997993"/>
        <c:axId val="1864868078"/>
      </c:barChart>
      <c:catAx>
        <c:axId val="10749979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800">
                <a:solidFill>
                  <a:srgbClr val="000000"/>
                </a:solidFill>
                <a:latin typeface="+mn-lt"/>
              </a:defRPr>
            </a:pPr>
          </a:p>
        </c:txPr>
        <c:crossAx val="1864868078"/>
      </c:catAx>
      <c:valAx>
        <c:axId val="18648680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chemeClr val="lt1"/>
                </a:solidFill>
                <a:latin typeface="+mn-lt"/>
              </a:defRPr>
            </a:pPr>
          </a:p>
        </c:txPr>
        <c:crossAx val="1074997993"/>
      </c:valAx>
    </c:plotArea>
    <c:legend>
      <c:legendPos val="r"/>
      <c:layout>
        <c:manualLayout>
          <c:xMode val="edge"/>
          <c:yMode val="edge"/>
          <c:x val="0.7994869791666668"/>
          <c:y val="0.33939802336028746"/>
        </c:manualLayout>
      </c:layout>
      <c:overlay val="0"/>
      <c:txPr>
        <a:bodyPr/>
        <a:lstStyle/>
        <a:p>
          <a:pPr lvl="0">
            <a:defRPr b="0" sz="1600">
              <a:solidFill>
                <a:srgbClr val="1A1A1A"/>
              </a:solidFill>
              <a:latin typeface="+mn-lt"/>
            </a:defRPr>
          </a:pPr>
        </a:p>
      </c:txPr>
    </c:legend>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Por qué evalua al Presidente Yamandú Orsi así</a:t>
            </a:r>
          </a:p>
        </c:rich>
      </c:tx>
      <c:overlay val="0"/>
    </c:title>
    <c:plotArea>
      <c:layout/>
      <c:barChart>
        <c:barDir val="col"/>
        <c:grouping val="percentStacked"/>
        <c:ser>
          <c:idx val="0"/>
          <c:order val="0"/>
          <c:tx>
            <c:strRef>
              <c:f>'q2'!$J$5</c:f>
            </c:strRef>
          </c:tx>
          <c:spPr>
            <a:solidFill>
              <a:schemeClr val="accent1"/>
            </a:solidFill>
            <a:ln cmpd="sng">
              <a:solidFill>
                <a:srgbClr val="000000"/>
              </a:solidFill>
            </a:ln>
          </c:spPr>
          <c:cat>
            <c:strRef>
              <c:f>'q2'!$K$4:$P$4</c:f>
            </c:strRef>
          </c:cat>
          <c:val>
            <c:numRef>
              <c:f>'q2'!$K$5:$P$5</c:f>
              <c:numCache/>
            </c:numRef>
          </c:val>
        </c:ser>
        <c:ser>
          <c:idx val="1"/>
          <c:order val="1"/>
          <c:tx>
            <c:strRef>
              <c:f>'q2'!$J$6</c:f>
            </c:strRef>
          </c:tx>
          <c:spPr>
            <a:solidFill>
              <a:schemeClr val="accent2"/>
            </a:solidFill>
            <a:ln cmpd="sng">
              <a:solidFill>
                <a:srgbClr val="000000"/>
              </a:solidFill>
            </a:ln>
          </c:spPr>
          <c:dPt>
            <c:idx val="3"/>
          </c:dPt>
          <c:cat>
            <c:strRef>
              <c:f>'q2'!$K$4:$P$4</c:f>
            </c:strRef>
          </c:cat>
          <c:val>
            <c:numRef>
              <c:f>'q2'!$K$6:$P$6</c:f>
              <c:numCache/>
            </c:numRef>
          </c:val>
        </c:ser>
        <c:ser>
          <c:idx val="2"/>
          <c:order val="2"/>
          <c:tx>
            <c:strRef>
              <c:f>'q2'!$J$7</c:f>
            </c:strRef>
          </c:tx>
          <c:spPr>
            <a:solidFill>
              <a:schemeClr val="accent3"/>
            </a:solidFill>
            <a:ln cmpd="sng">
              <a:solidFill>
                <a:srgbClr val="000000"/>
              </a:solidFill>
            </a:ln>
          </c:spPr>
          <c:cat>
            <c:strRef>
              <c:f>'q2'!$K$4:$P$4</c:f>
            </c:strRef>
          </c:cat>
          <c:val>
            <c:numRef>
              <c:f>'q2'!$K$7:$P$7</c:f>
              <c:numCache/>
            </c:numRef>
          </c:val>
        </c:ser>
        <c:ser>
          <c:idx val="3"/>
          <c:order val="3"/>
          <c:tx>
            <c:strRef>
              <c:f>'q2'!$J$8</c:f>
            </c:strRef>
          </c:tx>
          <c:spPr>
            <a:solidFill>
              <a:srgbClr val="38761D"/>
            </a:solidFill>
            <a:ln cmpd="sng">
              <a:solidFill>
                <a:srgbClr val="000000"/>
              </a:solidFill>
            </a:ln>
          </c:spPr>
          <c:cat>
            <c:strRef>
              <c:f>'q2'!$K$4:$P$4</c:f>
            </c:strRef>
          </c:cat>
          <c:val>
            <c:numRef>
              <c:f>'q2'!$K$8:$P$8</c:f>
              <c:numCache/>
            </c:numRef>
          </c:val>
        </c:ser>
        <c:ser>
          <c:idx val="4"/>
          <c:order val="4"/>
          <c:tx>
            <c:strRef>
              <c:f>'q2'!$J$9</c:f>
            </c:strRef>
          </c:tx>
          <c:spPr>
            <a:solidFill>
              <a:schemeClr val="accent5"/>
            </a:solidFill>
            <a:ln cmpd="sng">
              <a:solidFill>
                <a:srgbClr val="000000"/>
              </a:solidFill>
            </a:ln>
          </c:spPr>
          <c:cat>
            <c:strRef>
              <c:f>'q2'!$K$4:$P$4</c:f>
            </c:strRef>
          </c:cat>
          <c:val>
            <c:numRef>
              <c:f>'q2'!$K$9:$P$9</c:f>
              <c:numCache/>
            </c:numRef>
          </c:val>
        </c:ser>
        <c:ser>
          <c:idx val="5"/>
          <c:order val="5"/>
          <c:tx>
            <c:strRef>
              <c:f>'q2'!$J$10</c:f>
            </c:strRef>
          </c:tx>
          <c:spPr>
            <a:solidFill>
              <a:schemeClr val="accent6"/>
            </a:solidFill>
            <a:ln cmpd="sng">
              <a:solidFill>
                <a:srgbClr val="000000"/>
              </a:solidFill>
            </a:ln>
          </c:spPr>
          <c:cat>
            <c:strRef>
              <c:f>'q2'!$K$4:$P$4</c:f>
            </c:strRef>
          </c:cat>
          <c:val>
            <c:numRef>
              <c:f>'q2'!$K$10:$P$10</c:f>
              <c:numCache/>
            </c:numRef>
          </c:val>
        </c:ser>
        <c:ser>
          <c:idx val="6"/>
          <c:order val="6"/>
          <c:tx>
            <c:strRef>
              <c:f>'q2'!$J$11</c:f>
            </c:strRef>
          </c:tx>
          <c:spPr>
            <a:solidFill>
              <a:schemeClr val="accent1">
                <a:lumOff val="30000"/>
              </a:schemeClr>
            </a:solidFill>
            <a:ln cmpd="sng">
              <a:solidFill>
                <a:srgbClr val="000000"/>
              </a:solidFill>
            </a:ln>
          </c:spPr>
          <c:cat>
            <c:strRef>
              <c:f>'q2'!$K$4:$P$4</c:f>
            </c:strRef>
          </c:cat>
          <c:val>
            <c:numRef>
              <c:f>'q2'!$K$11:$P$11</c:f>
              <c:numCache/>
            </c:numRef>
          </c:val>
        </c:ser>
        <c:ser>
          <c:idx val="7"/>
          <c:order val="7"/>
          <c:tx>
            <c:strRef>
              <c:f>'q2'!$J$12</c:f>
            </c:strRef>
          </c:tx>
          <c:spPr>
            <a:solidFill>
              <a:schemeClr val="accent2">
                <a:lumOff val="30000"/>
              </a:schemeClr>
            </a:solidFill>
            <a:ln cmpd="sng">
              <a:solidFill>
                <a:srgbClr val="000000"/>
              </a:solidFill>
            </a:ln>
          </c:spPr>
          <c:cat>
            <c:strRef>
              <c:f>'q2'!$K$4:$P$4</c:f>
            </c:strRef>
          </c:cat>
          <c:val>
            <c:numRef>
              <c:f>'q2'!$K$12:$P$12</c:f>
              <c:numCache/>
            </c:numRef>
          </c:val>
        </c:ser>
        <c:ser>
          <c:idx val="8"/>
          <c:order val="8"/>
          <c:tx>
            <c:strRef>
              <c:f>'q2'!$J$13</c:f>
            </c:strRef>
          </c:tx>
          <c:spPr>
            <a:solidFill>
              <a:schemeClr val="accent3">
                <a:lumOff val="30000"/>
              </a:schemeClr>
            </a:solidFill>
            <a:ln cmpd="sng">
              <a:solidFill>
                <a:srgbClr val="000000"/>
              </a:solidFill>
            </a:ln>
          </c:spPr>
          <c:cat>
            <c:strRef>
              <c:f>'q2'!$K$4:$P$4</c:f>
            </c:strRef>
          </c:cat>
          <c:val>
            <c:numRef>
              <c:f>'q2'!$K$13:$P$13</c:f>
              <c:numCache/>
            </c:numRef>
          </c:val>
        </c:ser>
        <c:ser>
          <c:idx val="9"/>
          <c:order val="9"/>
          <c:tx>
            <c:strRef>
              <c:f>'q2'!$J$14</c:f>
            </c:strRef>
          </c:tx>
          <c:spPr>
            <a:solidFill>
              <a:schemeClr val="accent4">
                <a:lumOff val="30000"/>
              </a:schemeClr>
            </a:solidFill>
            <a:ln cmpd="sng">
              <a:solidFill>
                <a:srgbClr val="000000"/>
              </a:solidFill>
            </a:ln>
          </c:spPr>
          <c:cat>
            <c:strRef>
              <c:f>'q2'!$K$4:$P$4</c:f>
            </c:strRef>
          </c:cat>
          <c:val>
            <c:numRef>
              <c:f>'q2'!$K$14:$P$14</c:f>
              <c:numCache/>
            </c:numRef>
          </c:val>
        </c:ser>
        <c:ser>
          <c:idx val="10"/>
          <c:order val="10"/>
          <c:tx>
            <c:strRef>
              <c:f>'q2'!$J$15</c:f>
            </c:strRef>
          </c:tx>
          <c:spPr>
            <a:solidFill>
              <a:schemeClr val="accent5">
                <a:lumOff val="30000"/>
              </a:schemeClr>
            </a:solidFill>
            <a:ln cmpd="sng">
              <a:solidFill>
                <a:srgbClr val="000000"/>
              </a:solidFill>
            </a:ln>
          </c:spPr>
          <c:cat>
            <c:strRef>
              <c:f>'q2'!$K$4:$P$4</c:f>
            </c:strRef>
          </c:cat>
          <c:val>
            <c:numRef>
              <c:f>'q2'!$K$15:$P$15</c:f>
              <c:numCache/>
            </c:numRef>
          </c:val>
        </c:ser>
        <c:ser>
          <c:idx val="11"/>
          <c:order val="11"/>
          <c:tx>
            <c:strRef>
              <c:f>'q2'!$J$16</c:f>
            </c:strRef>
          </c:tx>
          <c:spPr>
            <a:solidFill>
              <a:schemeClr val="accent6">
                <a:lumOff val="30000"/>
              </a:schemeClr>
            </a:solidFill>
            <a:ln cmpd="sng">
              <a:solidFill>
                <a:srgbClr val="000000"/>
              </a:solidFill>
            </a:ln>
          </c:spPr>
          <c:cat>
            <c:strRef>
              <c:f>'q2'!$K$4:$P$4</c:f>
            </c:strRef>
          </c:cat>
          <c:val>
            <c:numRef>
              <c:f>'q2'!$K$16:$P$16</c:f>
              <c:numCache/>
            </c:numRef>
          </c:val>
        </c:ser>
        <c:overlap val="100"/>
        <c:axId val="1374734073"/>
        <c:axId val="1741482992"/>
      </c:barChart>
      <c:catAx>
        <c:axId val="13747340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1741482992"/>
      </c:catAx>
      <c:valAx>
        <c:axId val="17414829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374734073"/>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¿Por qué motivos apruebas a Orsi? </a:t>
            </a:r>
          </a:p>
        </c:rich>
      </c:tx>
      <c:overlay val="0"/>
    </c:title>
    <c:plotArea>
      <c:layout/>
      <c:barChart>
        <c:barDir val="bar"/>
        <c:grouping val="stacked"/>
        <c:ser>
          <c:idx val="0"/>
          <c:order val="0"/>
          <c:tx>
            <c:strRef>
              <c:f>'Copia de q2'!$B$76:$C$76</c:f>
            </c:strRef>
          </c:tx>
          <c:val>
            <c:numRef>
              <c:f>'Copia de q2'!$D$76:$I$76</c:f>
              <c:numCache/>
            </c:numRef>
          </c:val>
        </c:ser>
        <c:ser>
          <c:idx val="1"/>
          <c:order val="1"/>
          <c:tx>
            <c:strRef>
              <c:f>'Copia de q2'!$B$77:$C$77</c:f>
            </c:strRef>
          </c:tx>
          <c:val>
            <c:numRef>
              <c:f>'Copia de q2'!$D$77:$I$77</c:f>
              <c:numCache/>
            </c:numRef>
          </c:val>
        </c:ser>
        <c:ser>
          <c:idx val="2"/>
          <c:order val="2"/>
          <c:tx>
            <c:strRef>
              <c:f>'Copia de q2'!$B$78:$C$78</c:f>
            </c:strRef>
          </c:tx>
          <c:val>
            <c:numRef>
              <c:f>'Copia de q2'!$D$78:$I$78</c:f>
              <c:numCache/>
            </c:numRef>
          </c:val>
        </c:ser>
        <c:ser>
          <c:idx val="3"/>
          <c:order val="3"/>
          <c:tx>
            <c:strRef>
              <c:f>'Copia de q2'!$B$79:$C$79</c:f>
            </c:strRef>
          </c:tx>
          <c:val>
            <c:numRef>
              <c:f>'Copia de q2'!$D$79:$I$79</c:f>
              <c:numCache/>
            </c:numRef>
          </c:val>
        </c:ser>
        <c:ser>
          <c:idx val="4"/>
          <c:order val="4"/>
          <c:tx>
            <c:strRef>
              <c:f>'Copia de q2'!$B$80:$C$80</c:f>
            </c:strRef>
          </c:tx>
          <c:val>
            <c:numRef>
              <c:f>'Copia de q2'!$D$80:$I$80</c:f>
              <c:numCache/>
            </c:numRef>
          </c:val>
        </c:ser>
        <c:ser>
          <c:idx val="5"/>
          <c:order val="5"/>
          <c:tx>
            <c:strRef>
              <c:f>'Copia de q2'!$B$81:$C$81</c:f>
            </c:strRef>
          </c:tx>
          <c:val>
            <c:numRef>
              <c:f>'Copia de q2'!$D$81:$I$81</c:f>
              <c:numCache/>
            </c:numRef>
          </c:val>
        </c:ser>
        <c:ser>
          <c:idx val="6"/>
          <c:order val="6"/>
          <c:tx>
            <c:strRef>
              <c:f>'Copia de q2'!$B$82:$C$82</c:f>
            </c:strRef>
          </c:tx>
          <c:val>
            <c:numRef>
              <c:f>'Copia de q2'!$D$82:$I$82</c:f>
              <c:numCache/>
            </c:numRef>
          </c:val>
        </c:ser>
        <c:ser>
          <c:idx val="7"/>
          <c:order val="7"/>
          <c:tx>
            <c:strRef>
              <c:f>'Copia de q2'!$B$83:$C$83</c:f>
            </c:strRef>
          </c:tx>
          <c:val>
            <c:numRef>
              <c:f>'Copia de q2'!$D$83:$I$83</c:f>
              <c:numCache/>
            </c:numRef>
          </c:val>
        </c:ser>
        <c:overlap val="100"/>
        <c:axId val="1944168208"/>
        <c:axId val="811970067"/>
      </c:barChart>
      <c:catAx>
        <c:axId val="194416820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811970067"/>
      </c:catAx>
      <c:valAx>
        <c:axId val="811970067"/>
        <c:scaling>
          <c:orientation val="minMax"/>
        </c:scaling>
        <c:delete val="0"/>
        <c:axPos val="b"/>
        <c:tickLblPos val="nextTo"/>
        <c:spPr>
          <a:ln>
            <a:noFill/>
          </a:ln>
        </c:spPr>
        <c:crossAx val="1944168208"/>
        <c:crosses val="max"/>
      </c:valAx>
    </c:plotArea>
    <c:legend>
      <c:legendPos val="r"/>
      <c:layout>
        <c:manualLayout>
          <c:xMode val="edge"/>
          <c:yMode val="edge"/>
          <c:x val="0.7710723521270396"/>
          <c:y val="0.34937106918238997"/>
        </c:manualLayout>
      </c:layout>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¿Por qué motivos DESAPRUEBAS a Orsi? </a:t>
            </a:r>
          </a:p>
        </c:rich>
      </c:tx>
      <c:overlay val="0"/>
    </c:title>
    <c:plotArea>
      <c:layout/>
      <c:barChart>
        <c:barDir val="bar"/>
        <c:grouping val="stacked"/>
        <c:ser>
          <c:idx val="0"/>
          <c:order val="0"/>
          <c:tx>
            <c:strRef>
              <c:f>'Copia de q2'!$B$84:$C$84</c:f>
            </c:strRef>
          </c:tx>
          <c:val>
            <c:numRef>
              <c:f>'Copia de q2'!$D$84:$I$84</c:f>
              <c:numCache/>
            </c:numRef>
          </c:val>
        </c:ser>
        <c:ser>
          <c:idx val="1"/>
          <c:order val="1"/>
          <c:tx>
            <c:strRef>
              <c:f>'Copia de q2'!$B$85:$C$85</c:f>
            </c:strRef>
          </c:tx>
          <c:val>
            <c:numRef>
              <c:f>'Copia de q2'!$D$85:$I$85</c:f>
              <c:numCache/>
            </c:numRef>
          </c:val>
        </c:ser>
        <c:ser>
          <c:idx val="2"/>
          <c:order val="2"/>
          <c:tx>
            <c:strRef>
              <c:f>'Copia de q2'!$B$86:$C$86</c:f>
            </c:strRef>
          </c:tx>
          <c:val>
            <c:numRef>
              <c:f>'Copia de q2'!$D$86:$I$86</c:f>
              <c:numCache/>
            </c:numRef>
          </c:val>
        </c:ser>
        <c:ser>
          <c:idx val="3"/>
          <c:order val="3"/>
          <c:tx>
            <c:strRef>
              <c:f>'Copia de q2'!$B$87:$C$87</c:f>
            </c:strRef>
          </c:tx>
          <c:val>
            <c:numRef>
              <c:f>'Copia de q2'!$D$87:$I$87</c:f>
              <c:numCache/>
            </c:numRef>
          </c:val>
        </c:ser>
        <c:ser>
          <c:idx val="4"/>
          <c:order val="4"/>
          <c:tx>
            <c:strRef>
              <c:f>'Copia de q2'!$B$88:$C$88</c:f>
            </c:strRef>
          </c:tx>
          <c:val>
            <c:numRef>
              <c:f>'Copia de q2'!$D$88:$I$88</c:f>
              <c:numCache/>
            </c:numRef>
          </c:val>
        </c:ser>
        <c:ser>
          <c:idx val="5"/>
          <c:order val="5"/>
          <c:tx>
            <c:strRef>
              <c:f>'Copia de q2'!$B$89:$C$89</c:f>
            </c:strRef>
          </c:tx>
          <c:val>
            <c:numRef>
              <c:f>'Copia de q2'!$D$89:$I$89</c:f>
              <c:numCache/>
            </c:numRef>
          </c:val>
        </c:ser>
        <c:ser>
          <c:idx val="6"/>
          <c:order val="6"/>
          <c:tx>
            <c:strRef>
              <c:f>'Copia de q2'!$B$90:$C$90</c:f>
            </c:strRef>
          </c:tx>
          <c:val>
            <c:numRef>
              <c:f>'Copia de q2'!$D$90:$I$90</c:f>
              <c:numCache/>
            </c:numRef>
          </c:val>
        </c:ser>
        <c:ser>
          <c:idx val="7"/>
          <c:order val="7"/>
          <c:tx>
            <c:strRef>
              <c:f>'Copia de q2'!$B$91:$C$91</c:f>
            </c:strRef>
          </c:tx>
          <c:val>
            <c:numRef>
              <c:f>'Copia de q2'!$D$91:$I$91</c:f>
              <c:numCache/>
            </c:numRef>
          </c:val>
        </c:ser>
        <c:ser>
          <c:idx val="8"/>
          <c:order val="8"/>
          <c:tx>
            <c:strRef>
              <c:f>'Copia de q2'!$B$92:$C$92</c:f>
            </c:strRef>
          </c:tx>
          <c:val>
            <c:numRef>
              <c:f>'Copia de q2'!$D$92:$I$92</c:f>
              <c:numCache/>
            </c:numRef>
          </c:val>
        </c:ser>
        <c:overlap val="100"/>
        <c:axId val="1315291493"/>
        <c:axId val="1675611258"/>
      </c:barChart>
      <c:catAx>
        <c:axId val="131529149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1675611258"/>
      </c:catAx>
      <c:valAx>
        <c:axId val="1675611258"/>
        <c:scaling>
          <c:orientation val="minMax"/>
        </c:scaling>
        <c:delete val="0"/>
        <c:axPos val="b"/>
        <c:tickLblPos val="nextTo"/>
        <c:spPr>
          <a:ln>
            <a:noFill/>
          </a:ln>
        </c:spPr>
        <c:crossAx val="1315291493"/>
        <c:crosses val="max"/>
      </c:valAx>
    </c:plotArea>
    <c:legend>
      <c:legendPos val="r"/>
      <c:layout>
        <c:manualLayout>
          <c:xMode val="edge"/>
          <c:yMode val="edge"/>
          <c:x val="0.7710723521270396"/>
          <c:y val="0.34937106918238997"/>
        </c:manualLayout>
      </c:layout>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¿Por qué motivos tienes una posición NEUTRA? </a:t>
            </a:r>
          </a:p>
        </c:rich>
      </c:tx>
      <c:overlay val="0"/>
    </c:title>
    <c:plotArea>
      <c:layout/>
      <c:barChart>
        <c:barDir val="bar"/>
        <c:grouping val="stacked"/>
        <c:ser>
          <c:idx val="0"/>
          <c:order val="0"/>
          <c:tx>
            <c:strRef>
              <c:f>'Copia de q2'!$B$93:$C$93</c:f>
            </c:strRef>
          </c:tx>
          <c:val>
            <c:numRef>
              <c:f>'Copia de q2'!$D$93:$I$93</c:f>
              <c:numCache/>
            </c:numRef>
          </c:val>
        </c:ser>
        <c:ser>
          <c:idx val="1"/>
          <c:order val="1"/>
          <c:tx>
            <c:strRef>
              <c:f>'Copia de q2'!$B$94:$C$94</c:f>
            </c:strRef>
          </c:tx>
          <c:val>
            <c:numRef>
              <c:f>'Copia de q2'!$D$94:$I$94</c:f>
              <c:numCache/>
            </c:numRef>
          </c:val>
        </c:ser>
        <c:ser>
          <c:idx val="2"/>
          <c:order val="2"/>
          <c:tx>
            <c:strRef>
              <c:f>'Copia de q2'!$B$95:$C$95</c:f>
            </c:strRef>
          </c:tx>
          <c:val>
            <c:numRef>
              <c:f>'Copia de q2'!$D$95:$I$95</c:f>
              <c:numCache/>
            </c:numRef>
          </c:val>
        </c:ser>
        <c:ser>
          <c:idx val="3"/>
          <c:order val="3"/>
          <c:tx>
            <c:strRef>
              <c:f>'Copia de q2'!$B$96:$C$96</c:f>
            </c:strRef>
          </c:tx>
          <c:val>
            <c:numRef>
              <c:f>'Copia de q2'!$D$96:$I$96</c:f>
              <c:numCache/>
            </c:numRef>
          </c:val>
        </c:ser>
        <c:ser>
          <c:idx val="4"/>
          <c:order val="4"/>
          <c:tx>
            <c:strRef>
              <c:f>'Copia de q2'!$B$97:$C$97</c:f>
            </c:strRef>
          </c:tx>
          <c:val>
            <c:numRef>
              <c:f>'Copia de q2'!$D$97:$I$97</c:f>
              <c:numCache/>
            </c:numRef>
          </c:val>
        </c:ser>
        <c:ser>
          <c:idx val="5"/>
          <c:order val="5"/>
          <c:tx>
            <c:strRef>
              <c:f>'Copia de q2'!$B$98:$C$98</c:f>
            </c:strRef>
          </c:tx>
          <c:val>
            <c:numRef>
              <c:f>'Copia de q2'!$D$98:$I$98</c:f>
              <c:numCache/>
            </c:numRef>
          </c:val>
        </c:ser>
        <c:overlap val="100"/>
        <c:axId val="1311955199"/>
        <c:axId val="751454324"/>
      </c:barChart>
      <c:catAx>
        <c:axId val="131195519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751454324"/>
      </c:catAx>
      <c:valAx>
        <c:axId val="751454324"/>
        <c:scaling>
          <c:orientation val="minMax"/>
        </c:scaling>
        <c:delete val="0"/>
        <c:axPos val="b"/>
        <c:tickLblPos val="nextTo"/>
        <c:spPr>
          <a:ln>
            <a:noFill/>
          </a:ln>
        </c:spPr>
        <c:crossAx val="1311955199"/>
        <c:crosses val="max"/>
      </c:valAx>
    </c:plotArea>
    <c:legend>
      <c:legendPos val="r"/>
      <c:layout>
        <c:manualLayout>
          <c:xMode val="edge"/>
          <c:yMode val="edge"/>
          <c:x val="0.7801937645687645"/>
          <c:y val="0.40408805031446543"/>
        </c:manualLayout>
      </c:layout>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Ahora, pensando en el desempeño del anterior Presidente Luis Lacalle Pou ¿Ud…</a:t>
            </a:r>
          </a:p>
        </c:rich>
      </c:tx>
      <c:overlay val="0"/>
    </c:title>
    <c:plotArea>
      <c:layout>
        <c:manualLayout>
          <c:xMode val="edge"/>
          <c:yMode val="edge"/>
          <c:x val="0.059166666666666624"/>
          <c:y val="0.2783917340521114"/>
          <c:w val="0.7306884057971014"/>
          <c:h val="0.49384546271338725"/>
        </c:manualLayout>
      </c:layout>
      <c:barChart>
        <c:barDir val="col"/>
        <c:grouping val="percentStacked"/>
        <c:ser>
          <c:idx val="0"/>
          <c:order val="0"/>
          <c:tx>
            <c:strRef>
              <c:f>'q3'!$B$4</c:f>
            </c:strRef>
          </c:tx>
          <c:spPr>
            <a:solidFill>
              <a:srgbClr val="38761D"/>
            </a:solidFill>
            <a:ln cmpd="sng">
              <a:solidFill>
                <a:srgbClr val="FFFFFF">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'q3'!$C$3:$I$3</c:f>
            </c:strRef>
          </c:cat>
          <c:val>
            <c:numRef>
              <c:f>'q3'!$C$4:$I$4</c:f>
              <c:numCache/>
            </c:numRef>
          </c:val>
        </c:ser>
        <c:ser>
          <c:idx val="1"/>
          <c:order val="1"/>
          <c:tx>
            <c:strRef>
              <c:f>'q3'!$B$5</c:f>
            </c:strRef>
          </c:tx>
          <c:spPr>
            <a:solidFill>
              <a:srgbClr val="FFF2CC"/>
            </a:solidFill>
            <a:ln cmpd="sng">
              <a:solidFill>
                <a:srgbClr val="FFFFFF">
                  <a:alpha val="100000"/>
                </a:srgbClr>
              </a:solidFill>
            </a:ln>
          </c:spPr>
          <c:dPt>
            <c:idx val="3"/>
          </c:dPt>
          <c:dPt>
            <c:idx val="4"/>
          </c:dPt>
          <c:dLbls>
            <c:numFmt formatCode="General" sourceLinked="1"/>
            <c:txPr>
              <a:bodyPr/>
              <a:lstStyle/>
              <a:p>
                <a:pPr lvl="0">
                  <a:defRPr/>
                </a:pPr>
              </a:p>
            </c:txPr>
            <c:showLegendKey val="0"/>
            <c:showVal val="1"/>
            <c:showCatName val="0"/>
            <c:showSerName val="0"/>
            <c:showPercent val="0"/>
            <c:showBubbleSize val="0"/>
          </c:dLbls>
          <c:cat>
            <c:strRef>
              <c:f>'q3'!$C$3:$I$3</c:f>
            </c:strRef>
          </c:cat>
          <c:val>
            <c:numRef>
              <c:f>'q3'!$C$5:$I$5</c:f>
              <c:numCache/>
            </c:numRef>
          </c:val>
        </c:ser>
        <c:ser>
          <c:idx val="2"/>
          <c:order val="2"/>
          <c:tx>
            <c:strRef>
              <c:f>'q3'!$B$6</c:f>
            </c:strRef>
          </c:tx>
          <c:spPr>
            <a:solidFill>
              <a:srgbClr val="CC4125"/>
            </a:solidFill>
            <a:ln cmpd="sng">
              <a:solidFill>
                <a:schemeClr val="lt1"/>
              </a:solidFill>
            </a:ln>
          </c:spPr>
          <c:dLbls>
            <c:numFmt formatCode="General" sourceLinked="1"/>
            <c:txPr>
              <a:bodyPr/>
              <a:lstStyle/>
              <a:p>
                <a:pPr lvl="0">
                  <a:defRPr/>
                </a:pPr>
              </a:p>
            </c:txPr>
            <c:showLegendKey val="0"/>
            <c:showVal val="1"/>
            <c:showCatName val="0"/>
            <c:showSerName val="0"/>
            <c:showPercent val="0"/>
            <c:showBubbleSize val="0"/>
          </c:dLbls>
          <c:cat>
            <c:strRef>
              <c:f>'q3'!$C$3:$I$3</c:f>
            </c:strRef>
          </c:cat>
          <c:val>
            <c:numRef>
              <c:f>'q3'!$C$6:$I$6</c:f>
              <c:numCache/>
            </c:numRef>
          </c:val>
        </c:ser>
        <c:ser>
          <c:idx val="3"/>
          <c:order val="3"/>
          <c:tx>
            <c:strRef>
              <c:f>'q3'!$B$7</c:f>
            </c:strRef>
          </c:tx>
          <c:spPr>
            <a:solidFill>
              <a:srgbClr val="999999"/>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'q3'!$C$3:$I$3</c:f>
            </c:strRef>
          </c:cat>
          <c:val>
            <c:numRef>
              <c:f>'q3'!$C$7:$I$7</c:f>
              <c:numCache/>
            </c:numRef>
          </c:val>
        </c:ser>
        <c:overlap val="100"/>
        <c:axId val="1321952497"/>
        <c:axId val="1136774094"/>
      </c:barChart>
      <c:catAx>
        <c:axId val="13219524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1136774094"/>
      </c:catAx>
      <c:valAx>
        <c:axId val="11367740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chemeClr val="lt1"/>
                </a:solidFill>
                <a:latin typeface="+mn-lt"/>
              </a:defRPr>
            </a:pPr>
          </a:p>
        </c:txPr>
        <c:crossAx val="1321952497"/>
      </c:valAx>
    </c:plotArea>
    <c:legend>
      <c:legendPos val="r"/>
      <c:layout>
        <c:manualLayout>
          <c:xMode val="edge"/>
          <c:yMode val="edge"/>
          <c:x val="0.8261390257460919"/>
          <c:y val="0.36564005619976236"/>
        </c:manualLayout>
      </c:layout>
      <c:overlay val="0"/>
      <c:txPr>
        <a:bodyPr/>
        <a:lstStyle/>
        <a:p>
          <a:pPr lvl="0">
            <a:defRPr b="0" sz="1400">
              <a:solidFill>
                <a:srgbClr val="1A1A1A"/>
              </a:solidFill>
              <a:latin typeface="+mn-lt"/>
            </a:defRPr>
          </a:pPr>
        </a:p>
      </c:txPr>
    </c:legend>
    <c:plotVisOnly val="1"/>
  </c:chart>
  <c:spPr>
    <a:solidFill>
      <a:srgbClr val="FFFFFF">
        <a:alpha val="0"/>
      </a:srgbClr>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Por qué evalua al Ex Presidente Luis Lacalle Pouasí</a:t>
            </a:r>
          </a:p>
        </c:rich>
      </c:tx>
      <c:overlay val="0"/>
    </c:title>
    <c:plotArea>
      <c:layout/>
      <c:barChart>
        <c:barDir val="col"/>
        <c:grouping val="percentStacked"/>
        <c:ser>
          <c:idx val="0"/>
          <c:order val="0"/>
          <c:tx>
            <c:strRef>
              <c:f>'q4'!$I$4</c:f>
            </c:strRef>
          </c:tx>
          <c:spPr>
            <a:solidFill>
              <a:schemeClr val="accent1"/>
            </a:solidFill>
            <a:ln cmpd="sng">
              <a:solidFill>
                <a:srgbClr val="000000"/>
              </a:solidFill>
            </a:ln>
          </c:spPr>
          <c:cat>
            <c:strRef>
              <c:f>'q4'!$J$3:$O$3</c:f>
            </c:strRef>
          </c:cat>
          <c:val>
            <c:numRef>
              <c:f>'q4'!$J$4:$O$4</c:f>
              <c:numCache/>
            </c:numRef>
          </c:val>
        </c:ser>
        <c:ser>
          <c:idx val="1"/>
          <c:order val="1"/>
          <c:tx>
            <c:strRef>
              <c:f>'q4'!$I$5</c:f>
            </c:strRef>
          </c:tx>
          <c:spPr>
            <a:solidFill>
              <a:schemeClr val="accent2"/>
            </a:solidFill>
            <a:ln cmpd="sng">
              <a:solidFill>
                <a:srgbClr val="000000"/>
              </a:solidFill>
            </a:ln>
          </c:spPr>
          <c:dPt>
            <c:idx val="3"/>
          </c:dPt>
          <c:cat>
            <c:strRef>
              <c:f>'q4'!$J$3:$O$3</c:f>
            </c:strRef>
          </c:cat>
          <c:val>
            <c:numRef>
              <c:f>'q4'!$J$5:$O$5</c:f>
              <c:numCache/>
            </c:numRef>
          </c:val>
        </c:ser>
        <c:ser>
          <c:idx val="2"/>
          <c:order val="2"/>
          <c:tx>
            <c:strRef>
              <c:f>'q4'!$I$6</c:f>
            </c:strRef>
          </c:tx>
          <c:spPr>
            <a:solidFill>
              <a:schemeClr val="accent3"/>
            </a:solidFill>
            <a:ln cmpd="sng">
              <a:solidFill>
                <a:srgbClr val="000000"/>
              </a:solidFill>
            </a:ln>
          </c:spPr>
          <c:cat>
            <c:strRef>
              <c:f>'q4'!$J$3:$O$3</c:f>
            </c:strRef>
          </c:cat>
          <c:val>
            <c:numRef>
              <c:f>'q4'!$J$6:$O$6</c:f>
              <c:numCache/>
            </c:numRef>
          </c:val>
        </c:ser>
        <c:ser>
          <c:idx val="3"/>
          <c:order val="3"/>
          <c:tx>
            <c:strRef>
              <c:f>'q4'!$I$7</c:f>
            </c:strRef>
          </c:tx>
          <c:spPr>
            <a:solidFill>
              <a:srgbClr val="38761D"/>
            </a:solidFill>
            <a:ln cmpd="sng">
              <a:solidFill>
                <a:srgbClr val="000000"/>
              </a:solidFill>
            </a:ln>
          </c:spPr>
          <c:cat>
            <c:strRef>
              <c:f>'q4'!$J$3:$O$3</c:f>
            </c:strRef>
          </c:cat>
          <c:val>
            <c:numRef>
              <c:f>'q4'!$J$7:$O$7</c:f>
              <c:numCache/>
            </c:numRef>
          </c:val>
        </c:ser>
        <c:ser>
          <c:idx val="4"/>
          <c:order val="4"/>
          <c:tx>
            <c:strRef>
              <c:f>'q4'!$I$8</c:f>
            </c:strRef>
          </c:tx>
          <c:spPr>
            <a:solidFill>
              <a:schemeClr val="accent5"/>
            </a:solidFill>
            <a:ln cmpd="sng">
              <a:solidFill>
                <a:srgbClr val="000000"/>
              </a:solidFill>
            </a:ln>
          </c:spPr>
          <c:cat>
            <c:strRef>
              <c:f>'q4'!$J$3:$O$3</c:f>
            </c:strRef>
          </c:cat>
          <c:val>
            <c:numRef>
              <c:f>'q4'!$J$8:$O$8</c:f>
              <c:numCache/>
            </c:numRef>
          </c:val>
        </c:ser>
        <c:ser>
          <c:idx val="5"/>
          <c:order val="5"/>
          <c:tx>
            <c:strRef>
              <c:f>'q4'!$I$9</c:f>
            </c:strRef>
          </c:tx>
          <c:spPr>
            <a:solidFill>
              <a:schemeClr val="accent6"/>
            </a:solidFill>
            <a:ln cmpd="sng">
              <a:solidFill>
                <a:srgbClr val="000000"/>
              </a:solidFill>
            </a:ln>
          </c:spPr>
          <c:cat>
            <c:strRef>
              <c:f>'q4'!$J$3:$O$3</c:f>
            </c:strRef>
          </c:cat>
          <c:val>
            <c:numRef>
              <c:f>'q4'!$J$9:$O$9</c:f>
              <c:numCache/>
            </c:numRef>
          </c:val>
        </c:ser>
        <c:ser>
          <c:idx val="6"/>
          <c:order val="6"/>
          <c:tx>
            <c:strRef>
              <c:f>'q4'!$I$10</c:f>
            </c:strRef>
          </c:tx>
          <c:spPr>
            <a:solidFill>
              <a:schemeClr val="accent1">
                <a:lumOff val="30000"/>
              </a:schemeClr>
            </a:solidFill>
            <a:ln cmpd="sng">
              <a:solidFill>
                <a:srgbClr val="000000"/>
              </a:solidFill>
            </a:ln>
          </c:spPr>
          <c:cat>
            <c:strRef>
              <c:f>'q4'!$J$3:$O$3</c:f>
            </c:strRef>
          </c:cat>
          <c:val>
            <c:numRef>
              <c:f>'q4'!$J$10:$O$10</c:f>
              <c:numCache/>
            </c:numRef>
          </c:val>
        </c:ser>
        <c:overlap val="100"/>
        <c:axId val="1615122755"/>
        <c:axId val="153825347"/>
      </c:barChart>
      <c:catAx>
        <c:axId val="16151227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153825347"/>
      </c:catAx>
      <c:valAx>
        <c:axId val="1538253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615122755"/>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Cantidad de menciones de candidatos según bloques políticos</a:t>
            </a:r>
          </a:p>
        </c:rich>
      </c:tx>
      <c:overlay val="0"/>
    </c:title>
    <c:plotArea>
      <c:layout/>
      <c:barChart>
        <c:barDir val="bar"/>
        <c:grouping val="stacked"/>
        <c:ser>
          <c:idx val="0"/>
          <c:order val="0"/>
          <c:tx>
            <c:strRef>
              <c:f>'q6'!$B$76</c:f>
            </c:strRef>
          </c:tx>
          <c:spPr>
            <a:solidFill>
              <a:schemeClr val="accent1"/>
            </a:solidFill>
            <a:ln cmpd="sng">
              <a:solidFill>
                <a:srgbClr val="FFFFFF">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'q6'!$C$75:$H$75</c:f>
            </c:strRef>
          </c:cat>
          <c:val>
            <c:numRef>
              <c:f>'q6'!$C$76:$H$76</c:f>
              <c:numCache/>
            </c:numRef>
          </c:val>
        </c:ser>
        <c:ser>
          <c:idx val="1"/>
          <c:order val="1"/>
          <c:tx>
            <c:strRef>
              <c:f>'q6'!$B$77</c:f>
            </c:strRef>
          </c:tx>
          <c:spPr>
            <a:solidFill>
              <a:schemeClr val="accent2"/>
            </a:solidFill>
            <a:ln cmpd="sng">
              <a:solidFill>
                <a:srgbClr val="FFFFFF">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'q6'!$C$75:$H$75</c:f>
            </c:strRef>
          </c:cat>
          <c:val>
            <c:numRef>
              <c:f>'q6'!$C$77:$H$77</c:f>
              <c:numCache/>
            </c:numRef>
          </c:val>
        </c:ser>
        <c:ser>
          <c:idx val="2"/>
          <c:order val="2"/>
          <c:tx>
            <c:strRef>
              <c:f>'q6'!$B$78</c:f>
            </c:strRef>
          </c:tx>
          <c:spPr>
            <a:solidFill>
              <a:srgbClr val="999999"/>
            </a:solidFill>
            <a:ln cmpd="sng">
              <a:solidFill>
                <a:srgbClr val="FFFFFF">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'q6'!$C$75:$H$75</c:f>
            </c:strRef>
          </c:cat>
          <c:val>
            <c:numRef>
              <c:f>'q6'!$C$78:$H$78</c:f>
              <c:numCache/>
            </c:numRef>
          </c:val>
        </c:ser>
        <c:overlap val="100"/>
        <c:axId val="1992640576"/>
        <c:axId val="1129190494"/>
      </c:barChart>
      <c:catAx>
        <c:axId val="199264057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29190494"/>
      </c:catAx>
      <c:valAx>
        <c:axId val="112919049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92640576"/>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Más allá de su candidato/a para las próximas elecciones y de los partidos políticos ¿Le parece que sería bueno que nuestro país tenga una presidenta mujer en el próximo período de gobierno?</a:t>
            </a:r>
          </a:p>
        </c:rich>
      </c:tx>
      <c:layout>
        <c:manualLayout>
          <c:xMode val="edge"/>
          <c:yMode val="edge"/>
          <c:x val="0.0369864693980779"/>
          <c:y val="0.03105767965159865"/>
        </c:manualLayout>
      </c:layout>
      <c:overlay val="0"/>
    </c:title>
    <c:plotArea>
      <c:layout>
        <c:manualLayout>
          <c:xMode val="edge"/>
          <c:yMode val="edge"/>
          <c:x val="0.017450682852807285"/>
          <c:y val="0.27124183006535946"/>
          <c:w val="0.9620637329286796"/>
          <c:h val="0.5872549019607841"/>
        </c:manualLayout>
      </c:layout>
      <c:barChart>
        <c:barDir val="col"/>
        <c:grouping val="percentStacked"/>
        <c:ser>
          <c:idx val="0"/>
          <c:order val="0"/>
          <c:tx>
            <c:strRef>
              <c:f>'q7'!$B$5</c:f>
            </c:strRef>
          </c:tx>
          <c:spPr>
            <a:solidFill>
              <a:srgbClr val="6AA84F"/>
            </a:solidFill>
            <a:ln cmpd="sng">
              <a:solidFill>
                <a:schemeClr val="lt1"/>
              </a:solidFill>
            </a:ln>
          </c:spPr>
          <c:dLbls>
            <c:numFmt formatCode="General" sourceLinked="1"/>
            <c:txPr>
              <a:bodyPr/>
              <a:lstStyle/>
              <a:p>
                <a:pPr lvl="0">
                  <a:defRPr/>
                </a:pPr>
              </a:p>
            </c:txPr>
            <c:showLegendKey val="0"/>
            <c:showVal val="1"/>
            <c:showCatName val="0"/>
            <c:showSerName val="0"/>
            <c:showPercent val="0"/>
            <c:showBubbleSize val="0"/>
          </c:dLbls>
          <c:cat>
            <c:strRef>
              <c:f>'q7'!$C$4:$I$4</c:f>
            </c:strRef>
          </c:cat>
          <c:val>
            <c:numRef>
              <c:f>'q7'!$C$5:$I$5</c:f>
              <c:numCache/>
            </c:numRef>
          </c:val>
        </c:ser>
        <c:ser>
          <c:idx val="1"/>
          <c:order val="1"/>
          <c:tx>
            <c:strRef>
              <c:f>'q7'!$B$6</c:f>
            </c:strRef>
          </c:tx>
          <c:spPr>
            <a:solidFill>
              <a:srgbClr val="FF9900"/>
            </a:solidFill>
            <a:ln cmpd="sng">
              <a:solidFill>
                <a:srgbClr val="FFFFFF">
                  <a:alpha val="100000"/>
                </a:srgbClr>
              </a:solidFill>
            </a:ln>
          </c:spPr>
          <c:dPt>
            <c:idx val="2"/>
          </c:dPt>
          <c:dLbls>
            <c:numFmt formatCode="General" sourceLinked="1"/>
            <c:txPr>
              <a:bodyPr/>
              <a:lstStyle/>
              <a:p>
                <a:pPr lvl="0">
                  <a:defRPr/>
                </a:pPr>
              </a:p>
            </c:txPr>
            <c:showLegendKey val="0"/>
            <c:showVal val="1"/>
            <c:showCatName val="0"/>
            <c:showSerName val="0"/>
            <c:showPercent val="0"/>
            <c:showBubbleSize val="0"/>
          </c:dLbls>
          <c:cat>
            <c:strRef>
              <c:f>'q7'!$C$4:$I$4</c:f>
            </c:strRef>
          </c:cat>
          <c:val>
            <c:numRef>
              <c:f>'q7'!$C$6:$I$6</c:f>
              <c:numCache/>
            </c:numRef>
          </c:val>
        </c:ser>
        <c:ser>
          <c:idx val="2"/>
          <c:order val="2"/>
          <c:tx>
            <c:strRef>
              <c:f>'q7'!$B$7</c:f>
            </c:strRef>
          </c:tx>
          <c:spPr>
            <a:solidFill>
              <a:srgbClr val="DD7E6B"/>
            </a:solidFill>
            <a:ln cmpd="sng">
              <a:solidFill>
                <a:srgbClr val="FFFFFF">
                  <a:alpha val="100000"/>
                </a:srgbClr>
              </a:solidFill>
            </a:ln>
          </c:spPr>
          <c:dPt>
            <c:idx val="0"/>
          </c:dPt>
          <c:dPt>
            <c:idx val="2"/>
          </c:dPt>
          <c:dPt>
            <c:idx val="3"/>
          </c:dPt>
          <c:dPt>
            <c:idx val="5"/>
          </c:dPt>
          <c:dLbls>
            <c:numFmt formatCode="General" sourceLinked="1"/>
            <c:txPr>
              <a:bodyPr/>
              <a:lstStyle/>
              <a:p>
                <a:pPr lvl="0">
                  <a:defRPr/>
                </a:pPr>
              </a:p>
            </c:txPr>
            <c:showLegendKey val="0"/>
            <c:showVal val="1"/>
            <c:showCatName val="0"/>
            <c:showSerName val="0"/>
            <c:showPercent val="0"/>
            <c:showBubbleSize val="0"/>
          </c:dLbls>
          <c:cat>
            <c:strRef>
              <c:f>'q7'!$C$4:$I$4</c:f>
            </c:strRef>
          </c:cat>
          <c:val>
            <c:numRef>
              <c:f>'q7'!$C$7:$I$7</c:f>
              <c:numCache/>
            </c:numRef>
          </c:val>
        </c:ser>
        <c:ser>
          <c:idx val="3"/>
          <c:order val="3"/>
          <c:tx>
            <c:strRef>
              <c:f>'q7'!$B$8</c:f>
            </c:strRef>
          </c:tx>
          <c:spPr>
            <a:solidFill>
              <a:srgbClr val="999999"/>
            </a:solidFill>
            <a:ln cmpd="sng">
              <a:solidFill>
                <a:srgbClr val="FFFFFF">
                  <a:alpha val="100000"/>
                </a:srgbClr>
              </a:solidFill>
            </a:ln>
          </c:spPr>
          <c:dPt>
            <c:idx val="0"/>
          </c:dPt>
          <c:dPt>
            <c:idx val="2"/>
          </c:dPt>
          <c:dPt>
            <c:idx val="3"/>
          </c:dPt>
          <c:dPt>
            <c:idx val="5"/>
          </c:dPt>
          <c:dLbls>
            <c:dLbl>
              <c:idx val="0"/>
              <c:layout>
                <c:manualLayout>
                  <c:xMode val="edge"/>
                  <c:yMode val="edge"/>
                  <c:x val="0.08346434300833037"/>
                  <c:y val="0.00127464114832529"/>
                </c:manualLayout>
              </c:layout>
              <c:numFmt formatCode="General" sourceLinked="1"/>
              <c:txPr>
                <a:bodyPr/>
                <a:lstStyle/>
                <a:p>
                  <a:pPr lvl="0">
                    <a:defRPr/>
                  </a:pPr>
                </a:p>
              </c:txPr>
              <c:showLegendKey val="0"/>
              <c:showVal val="1"/>
              <c:showCatName val="0"/>
              <c:showSerName val="0"/>
              <c:showPercent val="0"/>
              <c:showBubbleSize val="0"/>
            </c:dLbl>
            <c:dLbl>
              <c:idx val="3"/>
              <c:layout>
                <c:manualLayout>
                  <c:xMode val="edge"/>
                  <c:yMode val="edge"/>
                  <c:x val="0.49473336626605474"/>
                  <c:y val="0.013236363636363631"/>
                </c:manualLayout>
              </c:layout>
              <c:numFmt formatCode="General" sourceLinked="1"/>
              <c:txPr>
                <a:bodyPr/>
                <a:lstStyle/>
                <a:p>
                  <a:pPr lvl="0">
                    <a:defRPr/>
                  </a:pPr>
                </a:p>
              </c:txPr>
              <c:showLegendKey val="0"/>
              <c:showVal val="1"/>
              <c:showCatName val="0"/>
              <c:showSerName val="0"/>
              <c:showPercent val="0"/>
              <c:showBubbleSize val="0"/>
            </c:dLbl>
            <c:dLbl>
              <c:idx val="5"/>
              <c:layout>
                <c:manualLayout>
                  <c:xMode val="edge"/>
                  <c:yMode val="edge"/>
                  <c:x val="0.7682838633870182"/>
                  <c:y val="0.011367548906789253"/>
                </c:manualLayout>
              </c:layout>
              <c:numFmt formatCode="General" sourceLinked="1"/>
              <c:txPr>
                <a:bodyPr/>
                <a:lstStyle/>
                <a:p>
                  <a:pPr lvl="0">
                    <a:defRPr/>
                  </a:pPr>
                </a:p>
              </c:txPr>
              <c:showLegendKey val="0"/>
              <c:showVal val="1"/>
              <c:showCatName val="0"/>
              <c:showSerName val="0"/>
              <c:showPercent val="0"/>
              <c:showBubbleSize val="0"/>
            </c:dLbl>
            <c:numFmt formatCode="General" sourceLinked="1"/>
            <c:txPr>
              <a:bodyPr/>
              <a:lstStyle/>
              <a:p>
                <a:pPr lvl="0">
                  <a:defRPr/>
                </a:pPr>
              </a:p>
            </c:txPr>
            <c:showLegendKey val="0"/>
            <c:showVal val="1"/>
            <c:showCatName val="0"/>
            <c:showSerName val="0"/>
            <c:showPercent val="0"/>
            <c:showBubbleSize val="0"/>
          </c:dLbls>
          <c:cat>
            <c:strRef>
              <c:f>'q7'!$C$4:$I$4</c:f>
            </c:strRef>
          </c:cat>
          <c:val>
            <c:numRef>
              <c:f>'q7'!$C$8:$I$8</c:f>
              <c:numCache/>
            </c:numRef>
          </c:val>
        </c:ser>
        <c:overlap val="100"/>
        <c:axId val="484716444"/>
        <c:axId val="388847597"/>
      </c:barChart>
      <c:catAx>
        <c:axId val="4847164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388847597"/>
      </c:catAx>
      <c:valAx>
        <c:axId val="3888475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Arial"/>
              </a:defRPr>
            </a:pPr>
          </a:p>
        </c:txPr>
        <c:crossAx val="484716444"/>
      </c:valAx>
    </c:plotArea>
    <c:legend>
      <c:legendPos val="t"/>
      <c:overlay val="0"/>
      <c:txPr>
        <a:bodyPr/>
        <a:lstStyle/>
        <a:p>
          <a:pPr lvl="0">
            <a:defRPr b="0" sz="1600">
              <a:solidFill>
                <a:srgbClr val="1A1A1A"/>
              </a:solidFill>
              <a:latin typeface="+mn-lt"/>
            </a:defRPr>
          </a:pPr>
        </a:p>
      </c:txPr>
    </c:legend>
    <c:plotVisOnly val="1"/>
  </c:chart>
  <c:spPr>
    <a:solidFill>
      <a:srgbClr val="FFFFFF">
        <a:alpha val="0"/>
      </a:srgbClr>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image" Target="../media/Chart5.png"/><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12</xdr:row>
      <xdr:rowOff>142875</xdr:rowOff>
    </xdr:from>
    <xdr:ext cx="7562850" cy="4676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41</xdr:row>
      <xdr:rowOff>142875</xdr:rowOff>
    </xdr:from>
    <xdr:ext cx="7905750" cy="488632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257175</xdr:colOff>
      <xdr:row>68</xdr:row>
      <xdr:rowOff>142875</xdr:rowOff>
    </xdr:from>
    <xdr:ext cx="7905750" cy="4886325"/>
    <xdr:graphicFrame>
      <xdr:nvGraphicFramePr>
        <xdr:cNvPr id="3" name="Chart 3"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9525</xdr:colOff>
      <xdr:row>3</xdr:row>
      <xdr:rowOff>142875</xdr:rowOff>
    </xdr:from>
    <xdr:ext cx="7562850" cy="4676775"/>
    <xdr:graphicFrame>
      <xdr:nvGraphicFramePr>
        <xdr:cNvPr id="4" name="Chart 4"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9525</xdr:colOff>
      <xdr:row>0</xdr:row>
      <xdr:rowOff>142875</xdr:rowOff>
    </xdr:from>
    <xdr:ext cx="7562850" cy="4676775"/>
    <xdr:pic>
      <xdr:nvPicPr>
        <xdr:cNvPr id="162719601" name="Chart5"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209550</xdr:colOff>
      <xdr:row>103</xdr:row>
      <xdr:rowOff>95250</xdr:rowOff>
    </xdr:from>
    <xdr:ext cx="8172450" cy="5048250"/>
    <xdr:graphicFrame>
      <xdr:nvGraphicFramePr>
        <xdr:cNvPr id="6" name="Chart 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209550</xdr:colOff>
      <xdr:row>134</xdr:row>
      <xdr:rowOff>95250</xdr:rowOff>
    </xdr:from>
    <xdr:ext cx="8172450" cy="5048250"/>
    <xdr:graphicFrame>
      <xdr:nvGraphicFramePr>
        <xdr:cNvPr id="7" name="Chart 7"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209550</xdr:colOff>
      <xdr:row>164</xdr:row>
      <xdr:rowOff>95250</xdr:rowOff>
    </xdr:from>
    <xdr:ext cx="8172450" cy="5048250"/>
    <xdr:graphicFrame>
      <xdr:nvGraphicFramePr>
        <xdr:cNvPr id="8" name="Chart 8" title="Gráfico"/>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333375</xdr:colOff>
      <xdr:row>41</xdr:row>
      <xdr:rowOff>152400</xdr:rowOff>
    </xdr:from>
    <xdr:ext cx="7629525" cy="4486275"/>
    <xdr:graphicFrame>
      <xdr:nvGraphicFramePr>
        <xdr:cNvPr id="9" name="Chart 9"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9525</xdr:colOff>
      <xdr:row>1</xdr:row>
      <xdr:rowOff>142875</xdr:rowOff>
    </xdr:from>
    <xdr:ext cx="7562850" cy="4676775"/>
    <xdr:graphicFrame>
      <xdr:nvGraphicFramePr>
        <xdr:cNvPr id="10" name="Chart 10"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619125</xdr:colOff>
      <xdr:row>80</xdr:row>
      <xdr:rowOff>47625</xdr:rowOff>
    </xdr:from>
    <xdr:ext cx="5715000" cy="3533775"/>
    <xdr:graphicFrame>
      <xdr:nvGraphicFramePr>
        <xdr:cNvPr id="11" name="Chart 1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704850</xdr:colOff>
      <xdr:row>21</xdr:row>
      <xdr:rowOff>47625</xdr:rowOff>
    </xdr:from>
    <xdr:ext cx="6276975" cy="4486275"/>
    <xdr:graphicFrame>
      <xdr:nvGraphicFramePr>
        <xdr:cNvPr id="12" name="Chart 1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4.0" ySplit="1.0" topLeftCell="O2" activePane="bottomRight" state="frozen"/>
      <selection activeCell="O1" sqref="O1" pane="topRight"/>
      <selection activeCell="A2" sqref="A2" pane="bottomLeft"/>
      <selection activeCell="O2" sqref="O2" pane="bottomRight"/>
    </sheetView>
  </sheetViews>
  <sheetFormatPr customHeight="1" defaultColWidth="14.43" defaultRowHeight="15.0"/>
  <cols>
    <col customWidth="1" min="1" max="4" width="10.71"/>
    <col customWidth="1" hidden="1" min="5" max="8" width="10.71"/>
    <col customWidth="1" min="9" max="15" width="10.71"/>
    <col customWidth="1" min="16" max="16" width="88.29"/>
    <col customWidth="1" min="17" max="21" width="24.29"/>
    <col customWidth="1" min="22" max="22" width="23.57"/>
    <col customWidth="1" min="23" max="23" width="10.71"/>
    <col customWidth="1" min="24" max="24" width="40.57"/>
    <col customWidth="1" min="25" max="26" width="10.71"/>
    <col customWidth="1" min="27" max="27" width="69.71"/>
    <col customWidth="1" min="28" max="28" width="15.71"/>
    <col customWidth="1" min="29" max="30" width="26.0"/>
    <col customWidth="1" min="31" max="31" width="69.71"/>
    <col customWidth="1" min="32" max="37" width="10.71"/>
    <col customWidth="1" min="38" max="38" width="54.57"/>
    <col customWidth="1" min="39" max="39" width="33.29"/>
    <col customWidth="1" min="40" max="40" width="11.71"/>
    <col customWidth="1" min="41" max="45" width="10.71"/>
    <col customWidth="1" min="46" max="46" width="78.71"/>
    <col customWidth="1" min="47" max="50" width="10.71"/>
    <col customWidth="1" min="51" max="52" width="21.57"/>
    <col customWidth="1" min="53" max="54" width="10.71"/>
    <col customWidth="1" min="55" max="55" width="21.57"/>
    <col customWidth="1" min="56" max="59" width="10.71"/>
  </cols>
  <sheetData>
    <row r="1">
      <c r="A1" s="1" t="s">
        <v>0</v>
      </c>
      <c r="B1" s="2" t="s">
        <v>1</v>
      </c>
      <c r="C1" s="2" t="s">
        <v>2</v>
      </c>
      <c r="D1" s="2" t="s">
        <v>3</v>
      </c>
      <c r="E1" s="2" t="s">
        <v>4</v>
      </c>
      <c r="F1" s="2" t="s">
        <v>5</v>
      </c>
      <c r="G1" s="2" t="s">
        <v>6</v>
      </c>
      <c r="H1" s="2" t="s">
        <v>7</v>
      </c>
      <c r="I1" s="2" t="s">
        <v>8</v>
      </c>
      <c r="J1" s="2" t="s">
        <v>9</v>
      </c>
      <c r="K1" s="2" t="s">
        <v>10</v>
      </c>
      <c r="L1" s="2" t="s">
        <v>11</v>
      </c>
      <c r="O1" s="2" t="s">
        <v>12</v>
      </c>
      <c r="P1" s="2" t="s">
        <v>13</v>
      </c>
      <c r="Q1" s="3" t="s">
        <v>14</v>
      </c>
      <c r="R1" s="3" t="s">
        <v>15</v>
      </c>
      <c r="S1" s="3" t="s">
        <v>16</v>
      </c>
      <c r="T1" s="3" t="s">
        <v>17</v>
      </c>
      <c r="U1" s="4" t="s">
        <v>18</v>
      </c>
      <c r="V1" s="4" t="s">
        <v>19</v>
      </c>
      <c r="W1" s="2" t="s">
        <v>20</v>
      </c>
      <c r="X1" s="2" t="s">
        <v>21</v>
      </c>
      <c r="Y1" s="4" t="s">
        <v>22</v>
      </c>
      <c r="Z1" s="4" t="s">
        <v>23</v>
      </c>
      <c r="AA1" s="3" t="s">
        <v>24</v>
      </c>
      <c r="AB1" s="3" t="s">
        <v>25</v>
      </c>
      <c r="AC1" s="1" t="s">
        <v>26</v>
      </c>
      <c r="AD1" s="1" t="s">
        <v>27</v>
      </c>
      <c r="AE1" s="2" t="s">
        <v>28</v>
      </c>
      <c r="AF1" s="1" t="s">
        <v>29</v>
      </c>
      <c r="AG1" s="1" t="s">
        <v>30</v>
      </c>
      <c r="AH1" s="1" t="s">
        <v>31</v>
      </c>
      <c r="AI1" s="1" t="s">
        <v>32</v>
      </c>
      <c r="AJ1" s="1" t="s">
        <v>33</v>
      </c>
      <c r="AK1" s="1" t="s">
        <v>34</v>
      </c>
      <c r="AL1" s="2" t="s">
        <v>35</v>
      </c>
      <c r="AN1" s="1" t="s">
        <v>36</v>
      </c>
      <c r="AO1" s="1" t="s">
        <v>37</v>
      </c>
      <c r="AP1" s="1" t="s">
        <v>38</v>
      </c>
      <c r="AQ1" s="1" t="s">
        <v>39</v>
      </c>
      <c r="AR1" s="1" t="s">
        <v>40</v>
      </c>
      <c r="AS1" s="2" t="s">
        <v>41</v>
      </c>
      <c r="AT1" s="2" t="s">
        <v>42</v>
      </c>
      <c r="AU1" s="5" t="s">
        <v>43</v>
      </c>
      <c r="AV1" s="5" t="s">
        <v>44</v>
      </c>
      <c r="AW1" s="5" t="s">
        <v>45</v>
      </c>
      <c r="AX1" s="2" t="s">
        <v>46</v>
      </c>
      <c r="AY1" s="1" t="s">
        <v>47</v>
      </c>
      <c r="AZ1" s="1" t="s">
        <v>48</v>
      </c>
      <c r="BA1" s="2" t="s">
        <v>49</v>
      </c>
      <c r="BB1" s="2" t="s">
        <v>50</v>
      </c>
      <c r="BC1" s="1" t="s">
        <v>51</v>
      </c>
    </row>
    <row r="2">
      <c r="A2" s="1">
        <v>1.0</v>
      </c>
      <c r="B2" s="2" t="s">
        <v>52</v>
      </c>
      <c r="C2" s="2" t="s">
        <v>53</v>
      </c>
      <c r="D2" s="2" t="s">
        <v>54</v>
      </c>
      <c r="E2" s="2" t="s">
        <v>55</v>
      </c>
      <c r="F2" s="2" t="s">
        <v>56</v>
      </c>
      <c r="G2" s="2" t="s">
        <v>57</v>
      </c>
      <c r="H2" s="2" t="s">
        <v>58</v>
      </c>
      <c r="I2" s="2" t="s">
        <v>59</v>
      </c>
      <c r="J2" s="2" t="s">
        <v>56</v>
      </c>
      <c r="K2" s="2" t="s">
        <v>60</v>
      </c>
      <c r="M2" s="1" t="s">
        <v>61</v>
      </c>
      <c r="N2" s="2" t="str">
        <f t="shared" ref="N2:N136" si="1">CONCATENATE(D2,M2,J2,M2,K2,M2,L2)</f>
        <v>Hombre Canelones FA </v>
      </c>
      <c r="O2" s="2" t="s">
        <v>62</v>
      </c>
      <c r="P2" s="6" t="s">
        <v>63</v>
      </c>
      <c r="Q2" s="7" t="s">
        <v>64</v>
      </c>
      <c r="R2" s="7"/>
      <c r="S2" s="7"/>
      <c r="T2" s="7"/>
      <c r="U2" s="8" t="s">
        <v>65</v>
      </c>
      <c r="V2" s="8" t="s">
        <v>66</v>
      </c>
      <c r="W2" s="2" t="s">
        <v>67</v>
      </c>
      <c r="X2" s="2" t="s">
        <v>68</v>
      </c>
      <c r="Y2" s="8" t="s">
        <v>69</v>
      </c>
      <c r="Z2" s="8" t="s">
        <v>70</v>
      </c>
      <c r="AA2" s="3" t="s">
        <v>68</v>
      </c>
      <c r="AB2" s="7" t="s">
        <v>71</v>
      </c>
      <c r="AC2" s="7"/>
      <c r="AD2" s="7"/>
      <c r="AE2" s="2" t="s">
        <v>72</v>
      </c>
      <c r="AF2" s="9">
        <v>202.0</v>
      </c>
      <c r="AG2" s="9">
        <v>203.0</v>
      </c>
      <c r="AH2" s="9"/>
      <c r="AI2" s="9"/>
      <c r="AJ2" s="9"/>
      <c r="AK2" s="9"/>
      <c r="AL2" s="2" t="s">
        <v>73</v>
      </c>
      <c r="AM2" s="5" t="s">
        <v>73</v>
      </c>
      <c r="AN2" s="9">
        <v>403.0</v>
      </c>
      <c r="AO2" s="9"/>
      <c r="AP2" s="9"/>
      <c r="AQ2" s="9"/>
      <c r="AR2" s="9"/>
      <c r="AS2" s="2" t="s">
        <v>74</v>
      </c>
      <c r="AT2" s="2" t="s">
        <v>75</v>
      </c>
      <c r="AU2" s="9">
        <v>101.0</v>
      </c>
      <c r="AV2" s="9"/>
      <c r="AW2" s="9"/>
      <c r="AX2" s="2" t="s">
        <v>76</v>
      </c>
      <c r="AY2" s="1" t="s">
        <v>77</v>
      </c>
      <c r="AZ2" s="1" t="s">
        <v>78</v>
      </c>
      <c r="BA2" s="2" t="s">
        <v>79</v>
      </c>
      <c r="BB2" s="2" t="s">
        <v>80</v>
      </c>
      <c r="BC2" s="1" t="s">
        <v>81</v>
      </c>
    </row>
    <row r="3">
      <c r="A3" s="2">
        <f t="shared" ref="A3:A136" si="2">A2+1</f>
        <v>2</v>
      </c>
      <c r="B3" s="2" t="s">
        <v>82</v>
      </c>
      <c r="C3" s="2" t="s">
        <v>83</v>
      </c>
      <c r="D3" s="2" t="s">
        <v>84</v>
      </c>
      <c r="E3" s="2" t="s">
        <v>85</v>
      </c>
      <c r="F3" s="2" t="s">
        <v>56</v>
      </c>
      <c r="G3" s="2" t="s">
        <v>86</v>
      </c>
      <c r="H3" s="2" t="s">
        <v>87</v>
      </c>
      <c r="I3" s="2" t="s">
        <v>59</v>
      </c>
      <c r="J3" s="2" t="s">
        <v>56</v>
      </c>
      <c r="K3" s="2" t="s">
        <v>60</v>
      </c>
      <c r="M3" s="1" t="s">
        <v>61</v>
      </c>
      <c r="N3" s="2" t="str">
        <f t="shared" si="1"/>
        <v>Mujer Canelones FA </v>
      </c>
      <c r="O3" s="2" t="s">
        <v>88</v>
      </c>
      <c r="P3" s="6" t="s">
        <v>89</v>
      </c>
      <c r="Q3" s="7" t="s">
        <v>90</v>
      </c>
      <c r="R3" s="7"/>
      <c r="S3" s="7"/>
      <c r="T3" s="7"/>
      <c r="U3" s="8" t="s">
        <v>91</v>
      </c>
      <c r="V3" s="8" t="s">
        <v>92</v>
      </c>
      <c r="W3" s="2" t="s">
        <v>62</v>
      </c>
      <c r="X3" s="2" t="s">
        <v>93</v>
      </c>
      <c r="Y3" s="8" t="s">
        <v>94</v>
      </c>
      <c r="Z3" s="8" t="s">
        <v>95</v>
      </c>
      <c r="AA3" s="3" t="s">
        <v>96</v>
      </c>
      <c r="AB3" s="7" t="s">
        <v>97</v>
      </c>
      <c r="AC3" s="7" t="s">
        <v>98</v>
      </c>
      <c r="AD3" s="7"/>
      <c r="AE3" s="2" t="s">
        <v>99</v>
      </c>
      <c r="AF3" s="9">
        <v>101.0</v>
      </c>
      <c r="AG3" s="9"/>
      <c r="AH3" s="9"/>
      <c r="AI3" s="9"/>
      <c r="AJ3" s="9"/>
      <c r="AK3" s="9"/>
      <c r="AL3" s="2" t="s">
        <v>100</v>
      </c>
      <c r="AM3" s="5" t="s">
        <v>101</v>
      </c>
      <c r="AN3" s="9">
        <v>402.0</v>
      </c>
      <c r="AO3" s="9"/>
      <c r="AP3" s="9"/>
      <c r="AQ3" s="9"/>
      <c r="AR3" s="9"/>
      <c r="AS3" s="2" t="s">
        <v>102</v>
      </c>
      <c r="AT3" s="2" t="s">
        <v>103</v>
      </c>
      <c r="AU3" s="9">
        <v>101.0</v>
      </c>
      <c r="AV3" s="9"/>
      <c r="AW3" s="9"/>
      <c r="AX3" s="2" t="s">
        <v>104</v>
      </c>
      <c r="AY3" s="1" t="s">
        <v>105</v>
      </c>
      <c r="AZ3" s="1" t="s">
        <v>78</v>
      </c>
      <c r="BA3" s="2" t="s">
        <v>79</v>
      </c>
      <c r="BB3" s="2" t="s">
        <v>106</v>
      </c>
      <c r="BC3" s="1" t="s">
        <v>107</v>
      </c>
    </row>
    <row r="4">
      <c r="A4" s="2">
        <f t="shared" si="2"/>
        <v>3</v>
      </c>
      <c r="B4" s="2" t="s">
        <v>108</v>
      </c>
      <c r="C4" s="2" t="s">
        <v>109</v>
      </c>
      <c r="D4" s="2" t="s">
        <v>84</v>
      </c>
      <c r="E4" s="2" t="s">
        <v>110</v>
      </c>
      <c r="F4" s="2" t="s">
        <v>56</v>
      </c>
      <c r="G4" s="2" t="s">
        <v>111</v>
      </c>
      <c r="H4" s="2" t="s">
        <v>112</v>
      </c>
      <c r="I4" s="2" t="s">
        <v>59</v>
      </c>
      <c r="J4" s="2" t="s">
        <v>56</v>
      </c>
      <c r="K4" s="2" t="s">
        <v>60</v>
      </c>
      <c r="M4" s="1" t="s">
        <v>61</v>
      </c>
      <c r="N4" s="2" t="str">
        <f t="shared" si="1"/>
        <v>Mujer Canelones FA </v>
      </c>
      <c r="O4" s="2" t="s">
        <v>67</v>
      </c>
      <c r="P4" s="6" t="s">
        <v>113</v>
      </c>
      <c r="Q4" s="7" t="s">
        <v>114</v>
      </c>
      <c r="R4" s="7"/>
      <c r="S4" s="7"/>
      <c r="T4" s="7"/>
      <c r="U4" s="8" t="s">
        <v>115</v>
      </c>
      <c r="V4" s="8" t="s">
        <v>116</v>
      </c>
      <c r="W4" s="2" t="s">
        <v>88</v>
      </c>
      <c r="X4" s="2" t="s">
        <v>117</v>
      </c>
      <c r="Y4" s="8" t="s">
        <v>118</v>
      </c>
      <c r="Z4" s="8" t="s">
        <v>119</v>
      </c>
      <c r="AA4" s="3" t="s">
        <v>117</v>
      </c>
      <c r="AB4" s="7" t="s">
        <v>120</v>
      </c>
      <c r="AC4" s="7"/>
      <c r="AD4" s="7"/>
      <c r="AE4" s="2" t="s">
        <v>121</v>
      </c>
      <c r="AF4" s="9">
        <v>402.0</v>
      </c>
      <c r="AG4" s="9"/>
      <c r="AH4" s="9"/>
      <c r="AI4" s="9"/>
      <c r="AJ4" s="9"/>
      <c r="AK4" s="9"/>
      <c r="AL4" s="2" t="s">
        <v>122</v>
      </c>
      <c r="AM4" s="5" t="s">
        <v>122</v>
      </c>
      <c r="AN4" s="9">
        <v>201.0</v>
      </c>
      <c r="AO4" s="9"/>
      <c r="AP4" s="9"/>
      <c r="AQ4" s="9"/>
      <c r="AR4" s="9"/>
      <c r="AS4" s="2" t="s">
        <v>123</v>
      </c>
      <c r="AT4" s="2" t="s">
        <v>124</v>
      </c>
      <c r="AU4" s="9">
        <v>202.0</v>
      </c>
      <c r="AV4" s="9">
        <v>204.0</v>
      </c>
      <c r="AW4" s="9"/>
      <c r="AX4" s="2" t="s">
        <v>125</v>
      </c>
      <c r="AY4" s="1" t="s">
        <v>126</v>
      </c>
      <c r="AZ4" s="1" t="s">
        <v>127</v>
      </c>
      <c r="BA4" s="2" t="s">
        <v>79</v>
      </c>
      <c r="BB4" s="2" t="s">
        <v>128</v>
      </c>
      <c r="BC4" s="1" t="s">
        <v>129</v>
      </c>
    </row>
    <row r="5" ht="32.25" customHeight="1">
      <c r="A5" s="2">
        <f t="shared" si="2"/>
        <v>4</v>
      </c>
      <c r="B5" s="2" t="s">
        <v>130</v>
      </c>
      <c r="C5" s="2" t="s">
        <v>83</v>
      </c>
      <c r="D5" s="2" t="s">
        <v>84</v>
      </c>
      <c r="E5" s="2" t="s">
        <v>131</v>
      </c>
      <c r="F5" s="2" t="s">
        <v>56</v>
      </c>
      <c r="G5" s="2" t="s">
        <v>57</v>
      </c>
      <c r="H5" s="2" t="s">
        <v>112</v>
      </c>
      <c r="I5" s="2" t="s">
        <v>59</v>
      </c>
      <c r="J5" s="2" t="s">
        <v>56</v>
      </c>
      <c r="K5" s="2" t="s">
        <v>60</v>
      </c>
      <c r="M5" s="1" t="s">
        <v>61</v>
      </c>
      <c r="N5" s="2" t="str">
        <f t="shared" si="1"/>
        <v>Mujer Canelones FA </v>
      </c>
      <c r="O5" s="2" t="s">
        <v>88</v>
      </c>
      <c r="P5" s="6" t="s">
        <v>132</v>
      </c>
      <c r="Q5" s="7" t="s">
        <v>133</v>
      </c>
      <c r="R5" s="7" t="s">
        <v>134</v>
      </c>
      <c r="S5" s="7"/>
      <c r="T5" s="7"/>
      <c r="U5" s="8" t="s">
        <v>135</v>
      </c>
      <c r="V5" s="8" t="s">
        <v>136</v>
      </c>
      <c r="W5" s="2" t="s">
        <v>88</v>
      </c>
      <c r="X5" s="2" t="s">
        <v>137</v>
      </c>
      <c r="Y5" s="8" t="s">
        <v>118</v>
      </c>
      <c r="Z5" s="8" t="s">
        <v>119</v>
      </c>
      <c r="AA5" s="3" t="s">
        <v>137</v>
      </c>
      <c r="AB5" s="7" t="s">
        <v>98</v>
      </c>
      <c r="AC5" s="7"/>
      <c r="AD5" s="7"/>
      <c r="AE5" s="2" t="s">
        <v>138</v>
      </c>
      <c r="AF5" s="9">
        <v>101.0</v>
      </c>
      <c r="AG5" s="9">
        <v>201.0</v>
      </c>
      <c r="AH5" s="9">
        <v>202.0</v>
      </c>
      <c r="AI5" s="9">
        <v>303.0</v>
      </c>
      <c r="AJ5" s="9">
        <v>403.0</v>
      </c>
      <c r="AK5" s="9"/>
      <c r="AL5" s="2" t="s">
        <v>139</v>
      </c>
      <c r="AM5" s="5" t="s">
        <v>139</v>
      </c>
      <c r="AN5" s="9">
        <v>403.0</v>
      </c>
      <c r="AO5" s="9"/>
      <c r="AP5" s="9"/>
      <c r="AQ5" s="9"/>
      <c r="AR5" s="9"/>
      <c r="AS5" s="2" t="s">
        <v>123</v>
      </c>
      <c r="AT5" s="2" t="s">
        <v>140</v>
      </c>
      <c r="AU5" s="9">
        <v>203.0</v>
      </c>
      <c r="AV5" s="9">
        <v>202.0</v>
      </c>
      <c r="AW5" s="9"/>
      <c r="AX5" s="2" t="s">
        <v>141</v>
      </c>
      <c r="AY5" s="1" t="s">
        <v>142</v>
      </c>
      <c r="AZ5" s="1" t="s">
        <v>129</v>
      </c>
      <c r="BA5" s="2" t="s">
        <v>79</v>
      </c>
      <c r="BB5" s="2" t="s">
        <v>143</v>
      </c>
      <c r="BC5" s="1" t="s">
        <v>144</v>
      </c>
    </row>
    <row r="6">
      <c r="A6" s="2">
        <f t="shared" si="2"/>
        <v>5</v>
      </c>
      <c r="B6" s="2" t="s">
        <v>145</v>
      </c>
      <c r="C6" s="2" t="s">
        <v>83</v>
      </c>
      <c r="D6" s="2" t="s">
        <v>84</v>
      </c>
      <c r="E6" s="2" t="s">
        <v>146</v>
      </c>
      <c r="F6" s="2" t="s">
        <v>56</v>
      </c>
      <c r="G6" s="2" t="s">
        <v>57</v>
      </c>
      <c r="H6" s="2" t="s">
        <v>147</v>
      </c>
      <c r="I6" s="2" t="s">
        <v>148</v>
      </c>
      <c r="J6" s="2" t="s">
        <v>56</v>
      </c>
      <c r="K6" s="2" t="s">
        <v>149</v>
      </c>
      <c r="M6" s="1" t="s">
        <v>61</v>
      </c>
      <c r="N6" s="2" t="str">
        <f t="shared" si="1"/>
        <v>Mujer Canelones CM </v>
      </c>
      <c r="O6" s="2" t="s">
        <v>88</v>
      </c>
      <c r="P6" s="6" t="s">
        <v>150</v>
      </c>
      <c r="Q6" s="7" t="s">
        <v>133</v>
      </c>
      <c r="R6" s="7"/>
      <c r="S6" s="7"/>
      <c r="T6" s="7"/>
      <c r="U6" s="8" t="s">
        <v>151</v>
      </c>
      <c r="V6" s="8" t="s">
        <v>152</v>
      </c>
      <c r="W6" s="2" t="s">
        <v>67</v>
      </c>
      <c r="X6" s="2" t="s">
        <v>153</v>
      </c>
      <c r="Y6" s="8" t="s">
        <v>94</v>
      </c>
      <c r="Z6" s="8" t="s">
        <v>154</v>
      </c>
      <c r="AA6" s="3" t="s">
        <v>153</v>
      </c>
      <c r="AB6" s="7" t="s">
        <v>155</v>
      </c>
      <c r="AC6" s="7"/>
      <c r="AD6" s="7"/>
      <c r="AE6" s="2" t="s">
        <v>156</v>
      </c>
      <c r="AF6" s="9">
        <v>101.0</v>
      </c>
      <c r="AG6" s="9">
        <v>303.0</v>
      </c>
      <c r="AH6" s="9">
        <v>201.0</v>
      </c>
      <c r="AI6" s="9"/>
      <c r="AJ6" s="9"/>
      <c r="AK6" s="9"/>
      <c r="AL6" s="2" t="s">
        <v>139</v>
      </c>
      <c r="AM6" s="5" t="s">
        <v>139</v>
      </c>
      <c r="AN6" s="9">
        <v>403.0</v>
      </c>
      <c r="AO6" s="9"/>
      <c r="AP6" s="9"/>
      <c r="AQ6" s="9"/>
      <c r="AR6" s="9"/>
      <c r="AS6" s="2" t="s">
        <v>123</v>
      </c>
      <c r="AT6" s="2" t="s">
        <v>157</v>
      </c>
      <c r="AU6" s="9">
        <v>202.0</v>
      </c>
      <c r="AV6" s="9"/>
      <c r="AW6" s="9"/>
      <c r="AX6" s="2" t="s">
        <v>158</v>
      </c>
      <c r="AY6" s="1" t="s">
        <v>105</v>
      </c>
      <c r="AZ6" s="1" t="s">
        <v>159</v>
      </c>
      <c r="BA6" s="2" t="s">
        <v>79</v>
      </c>
      <c r="BB6" s="2" t="s">
        <v>160</v>
      </c>
      <c r="BC6" s="1" t="s">
        <v>161</v>
      </c>
    </row>
    <row r="7">
      <c r="A7" s="2">
        <f t="shared" si="2"/>
        <v>6</v>
      </c>
      <c r="B7" s="2" t="s">
        <v>162</v>
      </c>
      <c r="C7" s="2" t="s">
        <v>53</v>
      </c>
      <c r="D7" s="2" t="s">
        <v>84</v>
      </c>
      <c r="E7" s="2" t="s">
        <v>163</v>
      </c>
      <c r="F7" s="2" t="s">
        <v>56</v>
      </c>
      <c r="G7" s="2" t="s">
        <v>86</v>
      </c>
      <c r="H7" s="2" t="s">
        <v>147</v>
      </c>
      <c r="I7" s="2" t="s">
        <v>59</v>
      </c>
      <c r="J7" s="2" t="s">
        <v>56</v>
      </c>
      <c r="K7" s="2" t="s">
        <v>60</v>
      </c>
      <c r="M7" s="1" t="s">
        <v>61</v>
      </c>
      <c r="N7" s="2" t="str">
        <f t="shared" si="1"/>
        <v>Mujer Canelones FA </v>
      </c>
      <c r="O7" s="2" t="s">
        <v>67</v>
      </c>
      <c r="P7" s="6" t="s">
        <v>164</v>
      </c>
      <c r="Q7" s="7" t="s">
        <v>165</v>
      </c>
      <c r="R7" s="7" t="s">
        <v>133</v>
      </c>
      <c r="S7" s="7"/>
      <c r="T7" s="7"/>
      <c r="U7" s="8" t="s">
        <v>135</v>
      </c>
      <c r="V7" s="8" t="s">
        <v>166</v>
      </c>
      <c r="W7" s="2" t="s">
        <v>88</v>
      </c>
      <c r="X7" s="2" t="s">
        <v>167</v>
      </c>
      <c r="Y7" s="8" t="s">
        <v>118</v>
      </c>
      <c r="Z7" s="8" t="s">
        <v>119</v>
      </c>
      <c r="AA7" s="3" t="s">
        <v>168</v>
      </c>
      <c r="AB7" s="7" t="s">
        <v>98</v>
      </c>
      <c r="AC7" s="7"/>
      <c r="AD7" s="7"/>
      <c r="AE7" s="2" t="s">
        <v>169</v>
      </c>
      <c r="AF7" s="9">
        <v>401.0</v>
      </c>
      <c r="AG7" s="9"/>
      <c r="AH7" s="9"/>
      <c r="AI7" s="9"/>
      <c r="AJ7" s="9"/>
      <c r="AK7" s="9"/>
      <c r="AL7" s="2" t="s">
        <v>170</v>
      </c>
      <c r="AM7" s="5" t="s">
        <v>171</v>
      </c>
      <c r="AN7" s="9">
        <v>104.0</v>
      </c>
      <c r="AO7" s="9">
        <v>401.0</v>
      </c>
      <c r="AP7" s="9"/>
      <c r="AQ7" s="9"/>
      <c r="AR7" s="9"/>
      <c r="AS7" s="2" t="s">
        <v>74</v>
      </c>
      <c r="AT7" s="2" t="s">
        <v>172</v>
      </c>
      <c r="AU7" s="9">
        <v>202.0</v>
      </c>
      <c r="AV7" s="9">
        <v>102.0</v>
      </c>
      <c r="AW7" s="9"/>
      <c r="AX7" s="2" t="s">
        <v>173</v>
      </c>
      <c r="AY7" s="1" t="s">
        <v>105</v>
      </c>
      <c r="AZ7" s="1" t="s">
        <v>127</v>
      </c>
      <c r="BA7" s="2" t="s">
        <v>174</v>
      </c>
      <c r="BB7" s="2" t="s">
        <v>175</v>
      </c>
      <c r="BC7" s="1" t="s">
        <v>161</v>
      </c>
    </row>
    <row r="8">
      <c r="A8" s="2">
        <f t="shared" si="2"/>
        <v>7</v>
      </c>
      <c r="B8" s="2" t="s">
        <v>176</v>
      </c>
      <c r="C8" s="2" t="s">
        <v>83</v>
      </c>
      <c r="D8" s="2" t="s">
        <v>84</v>
      </c>
      <c r="E8" s="2" t="s">
        <v>177</v>
      </c>
      <c r="F8" s="2" t="s">
        <v>178</v>
      </c>
      <c r="G8" s="2" t="s">
        <v>111</v>
      </c>
      <c r="H8" s="2" t="s">
        <v>179</v>
      </c>
      <c r="I8" s="2" t="s">
        <v>59</v>
      </c>
      <c r="J8" s="2" t="s">
        <v>180</v>
      </c>
      <c r="K8" s="2" t="s">
        <v>60</v>
      </c>
      <c r="M8" s="1" t="s">
        <v>61</v>
      </c>
      <c r="N8" s="2" t="str">
        <f t="shared" si="1"/>
        <v>Mujer Interior Frente Amplio FA </v>
      </c>
      <c r="O8" s="2" t="s">
        <v>88</v>
      </c>
      <c r="P8" s="6" t="s">
        <v>181</v>
      </c>
      <c r="Q8" s="7" t="s">
        <v>133</v>
      </c>
      <c r="R8" s="7" t="s">
        <v>64</v>
      </c>
      <c r="S8" s="7"/>
      <c r="T8" s="7"/>
      <c r="U8" s="8" t="s">
        <v>135</v>
      </c>
      <c r="V8" s="8" t="s">
        <v>136</v>
      </c>
      <c r="W8" s="2" t="s">
        <v>88</v>
      </c>
      <c r="X8" s="2" t="s">
        <v>182</v>
      </c>
      <c r="Y8" s="8" t="s">
        <v>118</v>
      </c>
      <c r="Z8" s="8" t="s">
        <v>119</v>
      </c>
      <c r="AA8" s="3" t="s">
        <v>182</v>
      </c>
      <c r="AB8" s="7" t="s">
        <v>98</v>
      </c>
      <c r="AC8" s="7"/>
      <c r="AD8" s="7"/>
      <c r="AE8" s="2" t="s">
        <v>183</v>
      </c>
      <c r="AF8" s="9">
        <v>101.0</v>
      </c>
      <c r="AG8" s="9"/>
      <c r="AH8" s="9"/>
      <c r="AI8" s="9"/>
      <c r="AJ8" s="9"/>
      <c r="AK8" s="9"/>
      <c r="AL8" s="2" t="s">
        <v>184</v>
      </c>
      <c r="AM8" s="5" t="s">
        <v>184</v>
      </c>
      <c r="AN8" s="9">
        <v>403.0</v>
      </c>
      <c r="AO8" s="9"/>
      <c r="AP8" s="9"/>
      <c r="AQ8" s="9"/>
      <c r="AR8" s="9"/>
      <c r="AS8" s="2" t="s">
        <v>123</v>
      </c>
      <c r="AT8" s="2" t="s">
        <v>185</v>
      </c>
      <c r="AU8" s="9">
        <v>202.0</v>
      </c>
      <c r="AV8" s="9">
        <v>201.0</v>
      </c>
      <c r="AW8" s="9"/>
      <c r="AX8" s="2" t="s">
        <v>186</v>
      </c>
      <c r="AY8" s="1" t="s">
        <v>105</v>
      </c>
      <c r="AZ8" s="1" t="s">
        <v>187</v>
      </c>
      <c r="BA8" s="2" t="s">
        <v>174</v>
      </c>
      <c r="BB8" s="2" t="s">
        <v>188</v>
      </c>
      <c r="BC8" s="1" t="s">
        <v>161</v>
      </c>
    </row>
    <row r="9">
      <c r="A9" s="2">
        <f t="shared" si="2"/>
        <v>8</v>
      </c>
      <c r="B9" s="2" t="s">
        <v>189</v>
      </c>
      <c r="C9" s="2" t="s">
        <v>83</v>
      </c>
      <c r="D9" s="2" t="s">
        <v>84</v>
      </c>
      <c r="E9" s="2" t="s">
        <v>190</v>
      </c>
      <c r="F9" s="2" t="s">
        <v>178</v>
      </c>
      <c r="G9" s="2" t="s">
        <v>111</v>
      </c>
      <c r="H9" s="2" t="s">
        <v>179</v>
      </c>
      <c r="I9" s="2" t="s">
        <v>59</v>
      </c>
      <c r="J9" s="2" t="s">
        <v>180</v>
      </c>
      <c r="K9" s="2" t="s">
        <v>60</v>
      </c>
      <c r="M9" s="1" t="s">
        <v>61</v>
      </c>
      <c r="N9" s="2" t="str">
        <f t="shared" si="1"/>
        <v>Mujer Interior Frente Amplio FA </v>
      </c>
      <c r="O9" s="2" t="s">
        <v>88</v>
      </c>
      <c r="P9" s="6" t="s">
        <v>191</v>
      </c>
      <c r="Q9" s="7" t="s">
        <v>64</v>
      </c>
      <c r="R9" s="7"/>
      <c r="S9" s="7"/>
      <c r="T9" s="7"/>
      <c r="U9" s="8" t="s">
        <v>91</v>
      </c>
      <c r="V9" s="8" t="s">
        <v>192</v>
      </c>
      <c r="W9" s="2" t="s">
        <v>88</v>
      </c>
      <c r="X9" s="2" t="s">
        <v>193</v>
      </c>
      <c r="Y9" s="8" t="s">
        <v>194</v>
      </c>
      <c r="Z9" s="8" t="s">
        <v>195</v>
      </c>
      <c r="AA9" s="3" t="s">
        <v>193</v>
      </c>
      <c r="AB9" s="7" t="s">
        <v>196</v>
      </c>
      <c r="AC9" s="7"/>
      <c r="AD9" s="7"/>
      <c r="AE9" s="2" t="s">
        <v>197</v>
      </c>
      <c r="AF9" s="9">
        <v>502.0</v>
      </c>
      <c r="AG9" s="9">
        <v>402.0</v>
      </c>
      <c r="AH9" s="9"/>
      <c r="AI9" s="9"/>
      <c r="AJ9" s="9"/>
      <c r="AK9" s="9"/>
      <c r="AL9" s="2" t="s">
        <v>198</v>
      </c>
      <c r="AM9" s="5" t="s">
        <v>198</v>
      </c>
      <c r="AN9" s="9">
        <v>201.0</v>
      </c>
      <c r="AO9" s="9"/>
      <c r="AP9" s="9"/>
      <c r="AQ9" s="9"/>
      <c r="AR9" s="9"/>
      <c r="AS9" s="2" t="s">
        <v>123</v>
      </c>
      <c r="AT9" s="2" t="s">
        <v>199</v>
      </c>
      <c r="AU9" s="9">
        <v>201.0</v>
      </c>
      <c r="AV9" s="9"/>
      <c r="AW9" s="9"/>
      <c r="AX9" s="2" t="s">
        <v>200</v>
      </c>
      <c r="AY9" s="1" t="s">
        <v>142</v>
      </c>
      <c r="AZ9" s="1" t="s">
        <v>127</v>
      </c>
      <c r="BA9" s="2" t="s">
        <v>174</v>
      </c>
      <c r="BB9" s="2" t="s">
        <v>201</v>
      </c>
      <c r="BC9" s="1" t="s">
        <v>202</v>
      </c>
    </row>
    <row r="10">
      <c r="A10" s="2">
        <f t="shared" si="2"/>
        <v>9</v>
      </c>
      <c r="B10" s="2" t="s">
        <v>203</v>
      </c>
      <c r="C10" s="2" t="s">
        <v>109</v>
      </c>
      <c r="D10" s="2" t="s">
        <v>84</v>
      </c>
      <c r="E10" s="2" t="s">
        <v>204</v>
      </c>
      <c r="F10" s="2" t="s">
        <v>178</v>
      </c>
      <c r="G10" s="2" t="s">
        <v>205</v>
      </c>
      <c r="H10" s="2" t="s">
        <v>206</v>
      </c>
      <c r="I10" s="2" t="s">
        <v>59</v>
      </c>
      <c r="J10" s="2" t="s">
        <v>180</v>
      </c>
      <c r="K10" s="2" t="s">
        <v>60</v>
      </c>
      <c r="M10" s="1" t="s">
        <v>61</v>
      </c>
      <c r="N10" s="2" t="str">
        <f t="shared" si="1"/>
        <v>Mujer Interior Frente Amplio FA </v>
      </c>
      <c r="O10" s="2" t="s">
        <v>88</v>
      </c>
      <c r="P10" s="6" t="s">
        <v>207</v>
      </c>
      <c r="Q10" s="7" t="s">
        <v>208</v>
      </c>
      <c r="R10" s="7"/>
      <c r="S10" s="7"/>
      <c r="T10" s="7"/>
      <c r="U10" s="8" t="s">
        <v>115</v>
      </c>
      <c r="V10" s="8" t="s">
        <v>209</v>
      </c>
      <c r="W10" s="2" t="s">
        <v>210</v>
      </c>
      <c r="X10" s="2" t="s">
        <v>211</v>
      </c>
      <c r="Y10" s="8" t="s">
        <v>194</v>
      </c>
      <c r="Z10" s="8" t="s">
        <v>212</v>
      </c>
      <c r="AA10" s="3" t="s">
        <v>213</v>
      </c>
      <c r="AB10" s="7" t="s">
        <v>214</v>
      </c>
      <c r="AC10" s="7"/>
      <c r="AD10" s="7"/>
      <c r="AE10" s="2" t="s">
        <v>215</v>
      </c>
      <c r="AF10" s="9">
        <v>201.0</v>
      </c>
      <c r="AG10" s="9">
        <v>302.0</v>
      </c>
      <c r="AH10" s="9">
        <v>303.0</v>
      </c>
      <c r="AI10" s="9"/>
      <c r="AJ10" s="9"/>
      <c r="AK10" s="9"/>
      <c r="AL10" s="2" t="s">
        <v>216</v>
      </c>
      <c r="AM10" s="5" t="s">
        <v>216</v>
      </c>
      <c r="AN10" s="9">
        <v>403.0</v>
      </c>
      <c r="AO10" s="9"/>
      <c r="AP10" s="9"/>
      <c r="AQ10" s="9"/>
      <c r="AR10" s="9"/>
      <c r="AS10" s="2" t="s">
        <v>102</v>
      </c>
      <c r="AT10" s="2" t="s">
        <v>217</v>
      </c>
      <c r="AU10" s="9">
        <v>102.0</v>
      </c>
      <c r="AV10" s="9">
        <v>101.0</v>
      </c>
      <c r="AW10" s="9"/>
      <c r="AX10" s="2" t="s">
        <v>218</v>
      </c>
      <c r="AY10" s="1" t="s">
        <v>142</v>
      </c>
      <c r="AZ10" s="1" t="s">
        <v>187</v>
      </c>
      <c r="BA10" s="2" t="s">
        <v>174</v>
      </c>
      <c r="BB10" s="2" t="s">
        <v>219</v>
      </c>
      <c r="BC10" s="1" t="s">
        <v>81</v>
      </c>
    </row>
    <row r="11">
      <c r="A11" s="2">
        <f t="shared" si="2"/>
        <v>10</v>
      </c>
      <c r="B11" s="2" t="s">
        <v>220</v>
      </c>
      <c r="C11" s="2" t="s">
        <v>83</v>
      </c>
      <c r="D11" s="2" t="s">
        <v>84</v>
      </c>
      <c r="E11" s="2" t="s">
        <v>221</v>
      </c>
      <c r="F11" s="2" t="s">
        <v>56</v>
      </c>
      <c r="G11" s="2" t="s">
        <v>86</v>
      </c>
      <c r="H11" s="2" t="s">
        <v>112</v>
      </c>
      <c r="I11" s="2" t="s">
        <v>59</v>
      </c>
      <c r="J11" s="2" t="s">
        <v>56</v>
      </c>
      <c r="K11" s="2" t="s">
        <v>60</v>
      </c>
      <c r="M11" s="1" t="s">
        <v>61</v>
      </c>
      <c r="N11" s="2" t="str">
        <f t="shared" si="1"/>
        <v>Mujer Canelones FA </v>
      </c>
      <c r="O11" s="2" t="s">
        <v>88</v>
      </c>
      <c r="P11" s="6" t="s">
        <v>222</v>
      </c>
      <c r="Q11" s="7" t="s">
        <v>133</v>
      </c>
      <c r="R11" s="7"/>
      <c r="S11" s="7"/>
      <c r="T11" s="7"/>
      <c r="U11" s="8" t="s">
        <v>135</v>
      </c>
      <c r="V11" s="8" t="s">
        <v>136</v>
      </c>
      <c r="W11" s="2" t="s">
        <v>88</v>
      </c>
      <c r="X11" s="2" t="s">
        <v>223</v>
      </c>
      <c r="Y11" s="8" t="s">
        <v>118</v>
      </c>
      <c r="Z11" s="8" t="s">
        <v>119</v>
      </c>
      <c r="AA11" s="3" t="s">
        <v>223</v>
      </c>
      <c r="AB11" s="7" t="s">
        <v>98</v>
      </c>
      <c r="AC11" s="7" t="s">
        <v>97</v>
      </c>
      <c r="AD11" s="7"/>
      <c r="AE11" s="2" t="s">
        <v>224</v>
      </c>
      <c r="AF11" s="9">
        <v>202.0</v>
      </c>
      <c r="AG11" s="9">
        <v>503.0</v>
      </c>
      <c r="AH11" s="9"/>
      <c r="AI11" s="9"/>
      <c r="AJ11" s="9"/>
      <c r="AK11" s="9"/>
      <c r="AL11" s="2" t="s">
        <v>139</v>
      </c>
      <c r="AM11" s="5" t="s">
        <v>139</v>
      </c>
      <c r="AN11" s="9">
        <v>403.0</v>
      </c>
      <c r="AO11" s="9"/>
      <c r="AP11" s="9"/>
      <c r="AQ11" s="9"/>
      <c r="AR11" s="9"/>
      <c r="AS11" s="2" t="s">
        <v>123</v>
      </c>
      <c r="AT11" s="2" t="s">
        <v>225</v>
      </c>
      <c r="AU11" s="9">
        <v>202.0</v>
      </c>
      <c r="AV11" s="9"/>
      <c r="AW11" s="9"/>
      <c r="AX11" s="2" t="s">
        <v>226</v>
      </c>
      <c r="AY11" s="1" t="s">
        <v>77</v>
      </c>
      <c r="AZ11" s="1" t="s">
        <v>227</v>
      </c>
      <c r="BA11" s="2" t="s">
        <v>228</v>
      </c>
      <c r="BB11" s="2" t="s">
        <v>229</v>
      </c>
      <c r="BC11" s="1" t="s">
        <v>107</v>
      </c>
    </row>
    <row r="12">
      <c r="A12" s="2">
        <f t="shared" si="2"/>
        <v>11</v>
      </c>
      <c r="B12" s="2" t="s">
        <v>230</v>
      </c>
      <c r="C12" s="2" t="s">
        <v>109</v>
      </c>
      <c r="D12" s="2" t="s">
        <v>84</v>
      </c>
      <c r="E12" s="2" t="s">
        <v>231</v>
      </c>
      <c r="F12" s="2" t="s">
        <v>56</v>
      </c>
      <c r="G12" s="2" t="s">
        <v>232</v>
      </c>
      <c r="H12" s="2" t="s">
        <v>112</v>
      </c>
      <c r="I12" s="2" t="s">
        <v>59</v>
      </c>
      <c r="J12" s="2" t="s">
        <v>56</v>
      </c>
      <c r="K12" s="2" t="s">
        <v>60</v>
      </c>
      <c r="M12" s="1" t="s">
        <v>61</v>
      </c>
      <c r="N12" s="2" t="str">
        <f t="shared" si="1"/>
        <v>Mujer Canelones FA </v>
      </c>
      <c r="O12" s="2" t="s">
        <v>62</v>
      </c>
      <c r="P12" s="6" t="s">
        <v>233</v>
      </c>
      <c r="Q12" s="7" t="s">
        <v>64</v>
      </c>
      <c r="R12" s="7" t="s">
        <v>234</v>
      </c>
      <c r="S12" s="7"/>
      <c r="T12" s="7"/>
      <c r="U12" s="8" t="s">
        <v>91</v>
      </c>
      <c r="V12" s="8" t="s">
        <v>192</v>
      </c>
      <c r="W12" s="2" t="s">
        <v>62</v>
      </c>
      <c r="X12" s="2" t="s">
        <v>235</v>
      </c>
      <c r="Y12" s="8" t="s">
        <v>69</v>
      </c>
      <c r="Z12" s="8" t="s">
        <v>236</v>
      </c>
      <c r="AA12" s="3" t="s">
        <v>235</v>
      </c>
      <c r="AB12" s="7" t="s">
        <v>237</v>
      </c>
      <c r="AC12" s="7"/>
      <c r="AD12" s="7"/>
      <c r="AE12" s="2" t="s">
        <v>238</v>
      </c>
      <c r="AF12" s="9">
        <v>201.0</v>
      </c>
      <c r="AG12" s="9">
        <v>303.0</v>
      </c>
      <c r="AH12" s="9">
        <v>101.0</v>
      </c>
      <c r="AI12" s="9"/>
      <c r="AJ12" s="9"/>
      <c r="AK12" s="9"/>
      <c r="AL12" s="2" t="s">
        <v>239</v>
      </c>
      <c r="AM12" s="5" t="s">
        <v>239</v>
      </c>
      <c r="AN12" s="9">
        <v>403.0</v>
      </c>
      <c r="AO12" s="9"/>
      <c r="AP12" s="9"/>
      <c r="AQ12" s="9"/>
      <c r="AR12" s="9"/>
      <c r="AS12" s="2" t="s">
        <v>74</v>
      </c>
      <c r="AT12" s="2" t="s">
        <v>240</v>
      </c>
      <c r="AU12" s="9">
        <v>102.0</v>
      </c>
      <c r="AV12" s="9"/>
      <c r="AW12" s="9"/>
      <c r="AX12" s="2" t="s">
        <v>241</v>
      </c>
      <c r="AY12" s="1" t="s">
        <v>142</v>
      </c>
      <c r="AZ12" s="1" t="s">
        <v>187</v>
      </c>
      <c r="BA12" s="2" t="s">
        <v>242</v>
      </c>
      <c r="BB12" s="2" t="s">
        <v>243</v>
      </c>
      <c r="BC12" s="1" t="s">
        <v>107</v>
      </c>
    </row>
    <row r="13">
      <c r="A13" s="2">
        <f t="shared" si="2"/>
        <v>12</v>
      </c>
      <c r="B13" s="2" t="s">
        <v>244</v>
      </c>
      <c r="C13" s="2" t="s">
        <v>83</v>
      </c>
      <c r="D13" s="2" t="s">
        <v>84</v>
      </c>
      <c r="E13" s="2" t="s">
        <v>245</v>
      </c>
      <c r="F13" s="2" t="s">
        <v>56</v>
      </c>
      <c r="G13" s="2" t="s">
        <v>232</v>
      </c>
      <c r="H13" s="2" t="s">
        <v>147</v>
      </c>
      <c r="I13" s="2" t="s">
        <v>246</v>
      </c>
      <c r="J13" s="2" t="s">
        <v>56</v>
      </c>
      <c r="K13" s="2" t="s">
        <v>149</v>
      </c>
      <c r="M13" s="1" t="s">
        <v>61</v>
      </c>
      <c r="N13" s="2" t="str">
        <f t="shared" si="1"/>
        <v>Mujer Canelones CM </v>
      </c>
      <c r="O13" s="2" t="s">
        <v>62</v>
      </c>
      <c r="P13" s="6" t="s">
        <v>247</v>
      </c>
      <c r="Q13" s="7" t="s">
        <v>64</v>
      </c>
      <c r="R13" s="7"/>
      <c r="S13" s="7"/>
      <c r="T13" s="7"/>
      <c r="U13" s="8" t="s">
        <v>248</v>
      </c>
      <c r="V13" s="8" t="s">
        <v>249</v>
      </c>
      <c r="W13" s="2" t="s">
        <v>67</v>
      </c>
      <c r="X13" s="2" t="s">
        <v>250</v>
      </c>
      <c r="Y13" s="8" t="s">
        <v>251</v>
      </c>
      <c r="Z13" s="8" t="s">
        <v>252</v>
      </c>
      <c r="AA13" s="3" t="s">
        <v>253</v>
      </c>
      <c r="AB13" s="7" t="s">
        <v>71</v>
      </c>
      <c r="AC13" s="7" t="s">
        <v>98</v>
      </c>
      <c r="AD13" s="7"/>
      <c r="AE13" s="2" t="s">
        <v>254</v>
      </c>
      <c r="AF13" s="9">
        <v>101.0</v>
      </c>
      <c r="AG13" s="9">
        <v>301.0</v>
      </c>
      <c r="AH13" s="9">
        <v>404.0</v>
      </c>
      <c r="AI13" s="9"/>
      <c r="AJ13" s="9"/>
      <c r="AK13" s="9"/>
      <c r="AL13" s="2" t="s">
        <v>255</v>
      </c>
      <c r="AM13" s="5" t="s">
        <v>255</v>
      </c>
      <c r="AN13" s="9">
        <v>101.0</v>
      </c>
      <c r="AO13" s="9"/>
      <c r="AP13" s="9"/>
      <c r="AQ13" s="9"/>
      <c r="AR13" s="9"/>
      <c r="AS13" s="2" t="s">
        <v>74</v>
      </c>
      <c r="AT13" s="2" t="s">
        <v>256</v>
      </c>
      <c r="AU13" s="9">
        <v>101.0</v>
      </c>
      <c r="AV13" s="9"/>
      <c r="AW13" s="9"/>
      <c r="AX13" s="2" t="s">
        <v>257</v>
      </c>
      <c r="AY13" s="1" t="s">
        <v>258</v>
      </c>
      <c r="AZ13" s="1" t="s">
        <v>78</v>
      </c>
      <c r="BA13" s="2" t="s">
        <v>242</v>
      </c>
      <c r="BB13" s="2" t="s">
        <v>259</v>
      </c>
      <c r="BC13" s="1" t="s">
        <v>81</v>
      </c>
    </row>
    <row r="14">
      <c r="A14" s="2">
        <f t="shared" si="2"/>
        <v>13</v>
      </c>
      <c r="B14" s="2" t="s">
        <v>260</v>
      </c>
      <c r="C14" s="2" t="s">
        <v>109</v>
      </c>
      <c r="D14" s="2" t="s">
        <v>84</v>
      </c>
      <c r="E14" s="2" t="s">
        <v>261</v>
      </c>
      <c r="F14" s="2" t="s">
        <v>56</v>
      </c>
      <c r="G14" s="2" t="s">
        <v>86</v>
      </c>
      <c r="H14" s="2" t="s">
        <v>206</v>
      </c>
      <c r="I14" s="2" t="s">
        <v>59</v>
      </c>
      <c r="J14" s="2" t="s">
        <v>56</v>
      </c>
      <c r="K14" s="2" t="s">
        <v>60</v>
      </c>
      <c r="M14" s="1" t="s">
        <v>61</v>
      </c>
      <c r="N14" s="2" t="str">
        <f t="shared" si="1"/>
        <v>Mujer Canelones FA </v>
      </c>
      <c r="O14" s="2" t="s">
        <v>67</v>
      </c>
      <c r="P14" s="6" t="s">
        <v>262</v>
      </c>
      <c r="Q14" s="7" t="s">
        <v>165</v>
      </c>
      <c r="R14" s="7" t="s">
        <v>263</v>
      </c>
      <c r="S14" s="7"/>
      <c r="T14" s="7"/>
      <c r="U14" s="8" t="s">
        <v>65</v>
      </c>
      <c r="V14" s="8" t="s">
        <v>264</v>
      </c>
      <c r="W14" s="2" t="s">
        <v>62</v>
      </c>
      <c r="X14" s="2" t="s">
        <v>265</v>
      </c>
      <c r="Y14" s="8" t="s">
        <v>266</v>
      </c>
      <c r="Z14" s="8" t="s">
        <v>267</v>
      </c>
      <c r="AA14" s="3" t="s">
        <v>268</v>
      </c>
      <c r="AB14" s="7" t="s">
        <v>269</v>
      </c>
      <c r="AC14" s="7" t="s">
        <v>270</v>
      </c>
      <c r="AD14" s="7" t="s">
        <v>97</v>
      </c>
      <c r="AE14" s="2" t="s">
        <v>271</v>
      </c>
      <c r="AF14" s="9">
        <v>201.0</v>
      </c>
      <c r="AG14" s="9">
        <v>205.0</v>
      </c>
      <c r="AH14" s="9">
        <v>303.0</v>
      </c>
      <c r="AI14" s="9">
        <v>202.0</v>
      </c>
      <c r="AJ14" s="9">
        <v>301.0</v>
      </c>
      <c r="AK14" s="9"/>
      <c r="AL14" s="2" t="s">
        <v>272</v>
      </c>
      <c r="AM14" s="5" t="s">
        <v>272</v>
      </c>
      <c r="AN14" s="9">
        <v>201.0</v>
      </c>
      <c r="AO14" s="9">
        <v>204.0</v>
      </c>
      <c r="AP14" s="9"/>
      <c r="AQ14" s="9"/>
      <c r="AR14" s="9"/>
      <c r="AS14" s="2" t="s">
        <v>123</v>
      </c>
      <c r="AT14" s="2" t="s">
        <v>273</v>
      </c>
      <c r="AU14" s="9">
        <v>203.0</v>
      </c>
      <c r="AV14" s="9"/>
      <c r="AW14" s="9"/>
      <c r="AX14" s="2" t="s">
        <v>274</v>
      </c>
      <c r="AY14" s="1" t="s">
        <v>105</v>
      </c>
      <c r="AZ14" s="1" t="s">
        <v>227</v>
      </c>
      <c r="BA14" s="2" t="s">
        <v>228</v>
      </c>
      <c r="BB14" s="2" t="s">
        <v>275</v>
      </c>
      <c r="BC14" s="1" t="s">
        <v>81</v>
      </c>
    </row>
    <row r="15">
      <c r="A15" s="2">
        <f t="shared" si="2"/>
        <v>14</v>
      </c>
      <c r="B15" s="2" t="s">
        <v>276</v>
      </c>
      <c r="C15" s="2" t="s">
        <v>83</v>
      </c>
      <c r="D15" s="2" t="s">
        <v>84</v>
      </c>
      <c r="E15" s="2" t="s">
        <v>277</v>
      </c>
      <c r="F15" s="2" t="s">
        <v>278</v>
      </c>
      <c r="G15" s="2" t="s">
        <v>232</v>
      </c>
      <c r="H15" s="2" t="s">
        <v>279</v>
      </c>
      <c r="I15" s="2" t="s">
        <v>246</v>
      </c>
      <c r="J15" s="2" t="s">
        <v>278</v>
      </c>
      <c r="K15" s="2" t="s">
        <v>149</v>
      </c>
      <c r="L15" s="2" t="s">
        <v>280</v>
      </c>
      <c r="M15" s="1" t="s">
        <v>61</v>
      </c>
      <c r="N15" s="2" t="str">
        <f t="shared" si="1"/>
        <v>Mujer Montevideo CM oficialista_abierto</v>
      </c>
      <c r="O15" s="2" t="s">
        <v>62</v>
      </c>
      <c r="P15" s="6" t="s">
        <v>281</v>
      </c>
      <c r="Q15" s="7" t="s">
        <v>208</v>
      </c>
      <c r="R15" s="7"/>
      <c r="S15" s="7"/>
      <c r="T15" s="7"/>
      <c r="U15" s="8" t="s">
        <v>115</v>
      </c>
      <c r="V15" s="8" t="s">
        <v>209</v>
      </c>
      <c r="W15" s="2" t="s">
        <v>67</v>
      </c>
      <c r="X15" s="2" t="s">
        <v>282</v>
      </c>
      <c r="Y15" s="8" t="s">
        <v>94</v>
      </c>
      <c r="Z15" s="8" t="s">
        <v>283</v>
      </c>
      <c r="AA15" s="3" t="s">
        <v>284</v>
      </c>
      <c r="AB15" s="7" t="s">
        <v>285</v>
      </c>
      <c r="AC15" s="7" t="s">
        <v>155</v>
      </c>
      <c r="AD15" s="7"/>
      <c r="AE15" s="2" t="s">
        <v>286</v>
      </c>
      <c r="AF15" s="9">
        <v>402.0</v>
      </c>
      <c r="AG15" s="9">
        <v>101.0</v>
      </c>
      <c r="AH15" s="9"/>
      <c r="AI15" s="9"/>
      <c r="AJ15" s="9"/>
      <c r="AK15" s="9"/>
      <c r="AL15" s="2" t="s">
        <v>287</v>
      </c>
      <c r="AM15" s="5" t="s">
        <v>287</v>
      </c>
      <c r="AN15" s="9">
        <v>101.0</v>
      </c>
      <c r="AO15" s="9"/>
      <c r="AP15" s="9"/>
      <c r="AQ15" s="9"/>
      <c r="AR15" s="9"/>
      <c r="AS15" s="2" t="s">
        <v>74</v>
      </c>
      <c r="AT15" s="2" t="s">
        <v>288</v>
      </c>
      <c r="AU15" s="9">
        <v>102.0</v>
      </c>
      <c r="AV15" s="9">
        <v>101.0</v>
      </c>
      <c r="AW15" s="9"/>
      <c r="AX15" s="2" t="s">
        <v>289</v>
      </c>
      <c r="AY15" s="1" t="s">
        <v>258</v>
      </c>
      <c r="AZ15" s="1" t="s">
        <v>127</v>
      </c>
      <c r="BA15" s="2" t="s">
        <v>242</v>
      </c>
      <c r="BB15" s="2" t="s">
        <v>290</v>
      </c>
      <c r="BC15" s="1" t="s">
        <v>291</v>
      </c>
    </row>
    <row r="16">
      <c r="A16" s="2">
        <f t="shared" si="2"/>
        <v>15</v>
      </c>
      <c r="B16" s="2" t="s">
        <v>292</v>
      </c>
      <c r="C16" s="2" t="s">
        <v>53</v>
      </c>
      <c r="D16" s="2" t="s">
        <v>84</v>
      </c>
      <c r="E16" s="2" t="s">
        <v>293</v>
      </c>
      <c r="F16" s="2" t="s">
        <v>294</v>
      </c>
      <c r="G16" s="2" t="s">
        <v>232</v>
      </c>
      <c r="H16" s="2" t="s">
        <v>295</v>
      </c>
      <c r="I16" s="2" t="s">
        <v>246</v>
      </c>
      <c r="J16" s="2" t="s">
        <v>296</v>
      </c>
      <c r="K16" s="2" t="s">
        <v>149</v>
      </c>
      <c r="L16" s="2" t="s">
        <v>297</v>
      </c>
      <c r="M16" s="1" t="s">
        <v>61</v>
      </c>
      <c r="N16" s="2" t="str">
        <f t="shared" si="1"/>
        <v>Mujer Interior Coalición CM oposicion_abierta</v>
      </c>
      <c r="O16" s="2" t="s">
        <v>62</v>
      </c>
      <c r="P16" s="6" t="s">
        <v>298</v>
      </c>
      <c r="Q16" s="7" t="s">
        <v>299</v>
      </c>
      <c r="R16" s="7"/>
      <c r="S16" s="7"/>
      <c r="T16" s="7"/>
      <c r="U16" s="8" t="s">
        <v>151</v>
      </c>
      <c r="V16" s="8" t="s">
        <v>300</v>
      </c>
      <c r="W16" s="2" t="s">
        <v>88</v>
      </c>
      <c r="X16" s="2" t="s">
        <v>301</v>
      </c>
      <c r="Y16" s="8" t="s">
        <v>194</v>
      </c>
      <c r="Z16" s="8" t="s">
        <v>195</v>
      </c>
      <c r="AA16" s="3" t="s">
        <v>301</v>
      </c>
      <c r="AB16" s="7" t="s">
        <v>97</v>
      </c>
      <c r="AC16" s="7"/>
      <c r="AD16" s="7"/>
      <c r="AE16" s="2" t="s">
        <v>302</v>
      </c>
      <c r="AF16" s="9">
        <v>403.0</v>
      </c>
      <c r="AG16" s="9"/>
      <c r="AH16" s="9"/>
      <c r="AI16" s="9"/>
      <c r="AJ16" s="9"/>
      <c r="AK16" s="9"/>
      <c r="AL16" s="2" t="s">
        <v>303</v>
      </c>
      <c r="AM16" s="5" t="s">
        <v>304</v>
      </c>
      <c r="AN16" s="9">
        <v>401.0</v>
      </c>
      <c r="AO16" s="9">
        <v>100.0</v>
      </c>
      <c r="AP16" s="9"/>
      <c r="AQ16" s="9"/>
      <c r="AR16" s="9"/>
      <c r="AS16" s="2" t="s">
        <v>74</v>
      </c>
      <c r="AT16" s="2" t="s">
        <v>305</v>
      </c>
      <c r="AU16" s="9">
        <v>402.0</v>
      </c>
      <c r="AV16" s="9"/>
      <c r="AW16" s="9"/>
      <c r="AX16" s="2" t="s">
        <v>306</v>
      </c>
      <c r="AY16" s="1" t="s">
        <v>258</v>
      </c>
      <c r="AZ16" s="1" t="s">
        <v>127</v>
      </c>
      <c r="BA16" s="2" t="s">
        <v>174</v>
      </c>
      <c r="BB16" s="2" t="s">
        <v>307</v>
      </c>
      <c r="BC16" s="1" t="s">
        <v>81</v>
      </c>
    </row>
    <row r="17">
      <c r="A17" s="2">
        <f t="shared" si="2"/>
        <v>16</v>
      </c>
      <c r="B17" s="2" t="s">
        <v>308</v>
      </c>
      <c r="C17" s="2" t="s">
        <v>83</v>
      </c>
      <c r="D17" s="2" t="s">
        <v>84</v>
      </c>
      <c r="E17" s="2" t="s">
        <v>309</v>
      </c>
      <c r="F17" s="2" t="s">
        <v>278</v>
      </c>
      <c r="G17" s="2" t="s">
        <v>86</v>
      </c>
      <c r="H17" s="2" t="s">
        <v>310</v>
      </c>
      <c r="I17" s="2" t="s">
        <v>59</v>
      </c>
      <c r="J17" s="2" t="s">
        <v>278</v>
      </c>
      <c r="K17" s="2" t="s">
        <v>60</v>
      </c>
      <c r="L17" s="2" t="s">
        <v>311</v>
      </c>
      <c r="M17" s="1" t="s">
        <v>61</v>
      </c>
      <c r="N17" s="2" t="str">
        <f t="shared" si="1"/>
        <v>Mujer Montevideo FA oficialista_acerrimo</v>
      </c>
      <c r="O17" s="2" t="s">
        <v>88</v>
      </c>
      <c r="P17" s="6" t="s">
        <v>312</v>
      </c>
      <c r="Q17" s="7" t="s">
        <v>64</v>
      </c>
      <c r="R17" s="7"/>
      <c r="S17" s="7"/>
      <c r="T17" s="7"/>
      <c r="U17" s="8" t="s">
        <v>91</v>
      </c>
      <c r="V17" s="8" t="s">
        <v>192</v>
      </c>
      <c r="W17" s="2" t="s">
        <v>62</v>
      </c>
      <c r="X17" s="2" t="s">
        <v>313</v>
      </c>
      <c r="Y17" s="8" t="s">
        <v>266</v>
      </c>
      <c r="Z17" s="8" t="s">
        <v>314</v>
      </c>
      <c r="AA17" s="3" t="s">
        <v>315</v>
      </c>
      <c r="AB17" s="7" t="s">
        <v>97</v>
      </c>
      <c r="AC17" s="7" t="s">
        <v>270</v>
      </c>
      <c r="AD17" s="7"/>
      <c r="AE17" s="2" t="s">
        <v>316</v>
      </c>
      <c r="AF17" s="9">
        <v>302.0</v>
      </c>
      <c r="AG17" s="9">
        <v>303.0</v>
      </c>
      <c r="AH17" s="9">
        <v>304.0</v>
      </c>
      <c r="AI17" s="9">
        <v>201.0</v>
      </c>
      <c r="AJ17" s="9">
        <v>205.0</v>
      </c>
      <c r="AK17" s="9"/>
      <c r="AL17" s="2" t="s">
        <v>317</v>
      </c>
      <c r="AM17" s="5" t="s">
        <v>317</v>
      </c>
      <c r="AN17" s="9">
        <v>401.0</v>
      </c>
      <c r="AO17" s="9"/>
      <c r="AP17" s="9"/>
      <c r="AQ17" s="9"/>
      <c r="AR17" s="9"/>
      <c r="AS17" s="2" t="s">
        <v>123</v>
      </c>
      <c r="AT17" s="2" t="s">
        <v>318</v>
      </c>
      <c r="AU17" s="9">
        <v>201.0</v>
      </c>
      <c r="AV17" s="9"/>
      <c r="AW17" s="9"/>
      <c r="AX17" s="2" t="s">
        <v>319</v>
      </c>
      <c r="AY17" s="1" t="s">
        <v>142</v>
      </c>
      <c r="AZ17" s="1" t="s">
        <v>159</v>
      </c>
      <c r="BA17" s="2" t="s">
        <v>174</v>
      </c>
      <c r="BB17" s="2" t="s">
        <v>320</v>
      </c>
      <c r="BC17" s="1" t="s">
        <v>161</v>
      </c>
    </row>
    <row r="18">
      <c r="A18" s="2">
        <f t="shared" si="2"/>
        <v>17</v>
      </c>
      <c r="B18" s="2" t="s">
        <v>321</v>
      </c>
      <c r="C18" s="2" t="s">
        <v>83</v>
      </c>
      <c r="D18" s="2" t="s">
        <v>84</v>
      </c>
      <c r="E18" s="2" t="s">
        <v>322</v>
      </c>
      <c r="F18" s="2" t="s">
        <v>278</v>
      </c>
      <c r="G18" s="2" t="s">
        <v>57</v>
      </c>
      <c r="H18" s="2" t="s">
        <v>112</v>
      </c>
      <c r="I18" s="2" t="s">
        <v>59</v>
      </c>
      <c r="J18" s="2" t="s">
        <v>278</v>
      </c>
      <c r="K18" s="2" t="s">
        <v>60</v>
      </c>
      <c r="L18" s="2" t="s">
        <v>311</v>
      </c>
      <c r="M18" s="1" t="s">
        <v>61</v>
      </c>
      <c r="N18" s="2" t="str">
        <f t="shared" si="1"/>
        <v>Mujer Montevideo FA oficialista_acerrimo</v>
      </c>
      <c r="O18" s="2" t="s">
        <v>67</v>
      </c>
      <c r="P18" s="6" t="s">
        <v>323</v>
      </c>
      <c r="Q18" s="7" t="s">
        <v>165</v>
      </c>
      <c r="R18" s="7"/>
      <c r="S18" s="7"/>
      <c r="T18" s="7"/>
      <c r="U18" s="8" t="s">
        <v>65</v>
      </c>
      <c r="V18" s="8" t="s">
        <v>324</v>
      </c>
      <c r="W18" s="2" t="s">
        <v>62</v>
      </c>
      <c r="X18" s="2" t="s">
        <v>325</v>
      </c>
      <c r="Y18" s="8" t="s">
        <v>194</v>
      </c>
      <c r="Z18" s="8" t="s">
        <v>195</v>
      </c>
      <c r="AA18" s="3" t="s">
        <v>325</v>
      </c>
      <c r="AB18" s="7" t="s">
        <v>97</v>
      </c>
      <c r="AC18" s="7"/>
      <c r="AD18" s="7"/>
      <c r="AE18" s="2" t="s">
        <v>326</v>
      </c>
      <c r="AF18" s="9">
        <v>302.0</v>
      </c>
      <c r="AG18" s="9">
        <v>501.0</v>
      </c>
      <c r="AH18" s="9"/>
      <c r="AI18" s="9"/>
      <c r="AJ18" s="9"/>
      <c r="AK18" s="9"/>
      <c r="AL18" s="2" t="s">
        <v>327</v>
      </c>
      <c r="AM18" s="5" t="s">
        <v>327</v>
      </c>
      <c r="AN18" s="9">
        <v>202.0</v>
      </c>
      <c r="AO18" s="9"/>
      <c r="AP18" s="9"/>
      <c r="AQ18" s="9"/>
      <c r="AR18" s="9"/>
      <c r="AS18" s="2" t="s">
        <v>123</v>
      </c>
      <c r="AT18" s="2" t="s">
        <v>328</v>
      </c>
      <c r="AU18" s="9">
        <v>202.0</v>
      </c>
      <c r="AV18" s="9">
        <v>204.0</v>
      </c>
      <c r="AW18" s="9"/>
      <c r="AX18" s="2" t="s">
        <v>329</v>
      </c>
      <c r="AY18" s="1" t="s">
        <v>77</v>
      </c>
      <c r="AZ18" s="1" t="s">
        <v>127</v>
      </c>
      <c r="BA18" s="2" t="s">
        <v>242</v>
      </c>
      <c r="BB18" s="2" t="s">
        <v>330</v>
      </c>
      <c r="BC18" s="1" t="s">
        <v>161</v>
      </c>
    </row>
    <row r="19">
      <c r="A19" s="2">
        <f t="shared" si="2"/>
        <v>18</v>
      </c>
      <c r="B19" s="2" t="s">
        <v>331</v>
      </c>
      <c r="C19" s="2" t="s">
        <v>83</v>
      </c>
      <c r="D19" s="2" t="s">
        <v>84</v>
      </c>
      <c r="E19" s="2" t="s">
        <v>332</v>
      </c>
      <c r="F19" s="2" t="s">
        <v>278</v>
      </c>
      <c r="G19" s="2" t="s">
        <v>86</v>
      </c>
      <c r="H19" s="2" t="s">
        <v>333</v>
      </c>
      <c r="I19" s="2" t="s">
        <v>334</v>
      </c>
      <c r="J19" s="2" t="s">
        <v>278</v>
      </c>
      <c r="K19" s="2" t="s">
        <v>149</v>
      </c>
      <c r="L19" s="2" t="s">
        <v>297</v>
      </c>
      <c r="M19" s="1" t="s">
        <v>61</v>
      </c>
      <c r="N19" s="2" t="str">
        <f t="shared" si="1"/>
        <v>Mujer Montevideo CM oposicion_abierta</v>
      </c>
      <c r="O19" s="2" t="s">
        <v>88</v>
      </c>
      <c r="P19" s="6" t="s">
        <v>335</v>
      </c>
      <c r="Q19" s="7" t="s">
        <v>336</v>
      </c>
      <c r="R19" s="7"/>
      <c r="S19" s="7"/>
      <c r="T19" s="7"/>
      <c r="U19" s="8" t="s">
        <v>337</v>
      </c>
      <c r="V19" s="8" t="s">
        <v>338</v>
      </c>
      <c r="W19" s="2" t="s">
        <v>67</v>
      </c>
      <c r="X19" s="2" t="s">
        <v>339</v>
      </c>
      <c r="Y19" s="8" t="s">
        <v>94</v>
      </c>
      <c r="Z19" s="8" t="s">
        <v>283</v>
      </c>
      <c r="AA19" s="3" t="s">
        <v>339</v>
      </c>
      <c r="AB19" s="7" t="s">
        <v>285</v>
      </c>
      <c r="AC19" s="7"/>
      <c r="AD19" s="7"/>
      <c r="AE19" s="2" t="s">
        <v>340</v>
      </c>
      <c r="AF19" s="9">
        <v>101.0</v>
      </c>
      <c r="AG19" s="9">
        <v>104.0</v>
      </c>
      <c r="AH19" s="9">
        <v>402.0</v>
      </c>
      <c r="AI19" s="9"/>
      <c r="AJ19" s="9"/>
      <c r="AK19" s="9"/>
      <c r="AL19" s="2" t="s">
        <v>341</v>
      </c>
      <c r="AM19" s="5" t="s">
        <v>341</v>
      </c>
      <c r="AN19" s="9">
        <v>403.0</v>
      </c>
      <c r="AO19" s="9"/>
      <c r="AP19" s="9"/>
      <c r="AQ19" s="9"/>
      <c r="AR19" s="9"/>
      <c r="AS19" s="2" t="s">
        <v>74</v>
      </c>
      <c r="AT19" s="2" t="s">
        <v>342</v>
      </c>
      <c r="AU19" s="9">
        <v>101.0</v>
      </c>
      <c r="AV19" s="9"/>
      <c r="AW19" s="9"/>
      <c r="AX19" s="2" t="s">
        <v>343</v>
      </c>
      <c r="AY19" s="1" t="s">
        <v>258</v>
      </c>
      <c r="AZ19" s="1" t="s">
        <v>344</v>
      </c>
      <c r="BA19" s="2" t="s">
        <v>79</v>
      </c>
      <c r="BB19" s="2" t="s">
        <v>345</v>
      </c>
      <c r="BC19" s="1" t="s">
        <v>202</v>
      </c>
    </row>
    <row r="20">
      <c r="A20" s="2">
        <f t="shared" si="2"/>
        <v>19</v>
      </c>
      <c r="B20" s="2" t="s">
        <v>346</v>
      </c>
      <c r="C20" s="2" t="s">
        <v>83</v>
      </c>
      <c r="D20" s="2" t="s">
        <v>84</v>
      </c>
      <c r="E20" s="2" t="s">
        <v>347</v>
      </c>
      <c r="F20" s="2" t="s">
        <v>278</v>
      </c>
      <c r="G20" s="2" t="s">
        <v>232</v>
      </c>
      <c r="H20" s="2" t="s">
        <v>348</v>
      </c>
      <c r="I20" s="2" t="s">
        <v>59</v>
      </c>
      <c r="J20" s="2" t="s">
        <v>278</v>
      </c>
      <c r="K20" s="2" t="s">
        <v>60</v>
      </c>
      <c r="L20" s="2" t="s">
        <v>311</v>
      </c>
      <c r="M20" s="1" t="s">
        <v>61</v>
      </c>
      <c r="N20" s="2" t="str">
        <f t="shared" si="1"/>
        <v>Mujer Montevideo FA oficialista_acerrimo</v>
      </c>
      <c r="O20" s="2" t="s">
        <v>67</v>
      </c>
      <c r="P20" s="6" t="s">
        <v>349</v>
      </c>
      <c r="Q20" s="7" t="s">
        <v>165</v>
      </c>
      <c r="R20" s="7" t="s">
        <v>133</v>
      </c>
      <c r="S20" s="7"/>
      <c r="T20" s="7"/>
      <c r="U20" s="8" t="s">
        <v>135</v>
      </c>
      <c r="V20" s="8" t="s">
        <v>166</v>
      </c>
      <c r="W20" s="2" t="s">
        <v>62</v>
      </c>
      <c r="X20" s="2" t="s">
        <v>350</v>
      </c>
      <c r="Y20" s="8" t="s">
        <v>194</v>
      </c>
      <c r="Z20" s="8" t="s">
        <v>195</v>
      </c>
      <c r="AA20" s="3" t="s">
        <v>351</v>
      </c>
      <c r="AB20" s="7" t="s">
        <v>97</v>
      </c>
      <c r="AC20" s="7"/>
      <c r="AD20" s="7"/>
      <c r="AE20" s="2" t="s">
        <v>352</v>
      </c>
      <c r="AF20" s="9">
        <v>101.0</v>
      </c>
      <c r="AG20" s="9">
        <v>103.0</v>
      </c>
      <c r="AH20" s="9">
        <v>303.0</v>
      </c>
      <c r="AI20" s="9"/>
      <c r="AJ20" s="9"/>
      <c r="AK20" s="9"/>
      <c r="AL20" s="2" t="s">
        <v>353</v>
      </c>
      <c r="AM20" s="5" t="s">
        <v>354</v>
      </c>
      <c r="AN20" s="9">
        <v>401.0</v>
      </c>
      <c r="AO20" s="9"/>
      <c r="AP20" s="9"/>
      <c r="AQ20" s="9"/>
      <c r="AR20" s="9"/>
      <c r="AS20" s="2" t="s">
        <v>74</v>
      </c>
      <c r="AT20" s="2" t="s">
        <v>355</v>
      </c>
      <c r="AU20" s="9">
        <v>102.0</v>
      </c>
      <c r="AV20" s="9">
        <v>101.0</v>
      </c>
      <c r="AW20" s="9"/>
      <c r="AX20" s="2" t="s">
        <v>356</v>
      </c>
      <c r="AY20" s="1" t="s">
        <v>126</v>
      </c>
      <c r="AZ20" s="1" t="s">
        <v>127</v>
      </c>
      <c r="BA20" s="2" t="s">
        <v>242</v>
      </c>
      <c r="BB20" s="2" t="s">
        <v>357</v>
      </c>
      <c r="BC20" s="1" t="s">
        <v>129</v>
      </c>
    </row>
    <row r="21" ht="15.75" customHeight="1">
      <c r="A21" s="2">
        <f t="shared" si="2"/>
        <v>20</v>
      </c>
      <c r="B21" s="2" t="s">
        <v>358</v>
      </c>
      <c r="C21" s="2" t="s">
        <v>83</v>
      </c>
      <c r="D21" s="2" t="s">
        <v>84</v>
      </c>
      <c r="E21" s="2" t="s">
        <v>359</v>
      </c>
      <c r="F21" s="2" t="s">
        <v>360</v>
      </c>
      <c r="G21" s="2" t="s">
        <v>57</v>
      </c>
      <c r="H21" s="2" t="s">
        <v>361</v>
      </c>
      <c r="I21" s="2" t="s">
        <v>362</v>
      </c>
      <c r="J21" s="2" t="s">
        <v>296</v>
      </c>
      <c r="K21" s="2" t="s">
        <v>149</v>
      </c>
      <c r="L21" s="2" t="s">
        <v>311</v>
      </c>
      <c r="M21" s="1" t="s">
        <v>61</v>
      </c>
      <c r="N21" s="2" t="str">
        <f t="shared" si="1"/>
        <v>Mujer Interior Coalición CM oficialista_acerrimo</v>
      </c>
      <c r="O21" s="2" t="s">
        <v>88</v>
      </c>
      <c r="P21" s="6" t="s">
        <v>363</v>
      </c>
      <c r="Q21" s="7" t="s">
        <v>64</v>
      </c>
      <c r="R21" s="7"/>
      <c r="S21" s="7"/>
      <c r="T21" s="7"/>
      <c r="U21" s="8" t="s">
        <v>91</v>
      </c>
      <c r="V21" s="8" t="s">
        <v>192</v>
      </c>
      <c r="W21" s="2" t="s">
        <v>210</v>
      </c>
      <c r="X21" s="2" t="s">
        <v>364</v>
      </c>
      <c r="Y21" s="8" t="s">
        <v>118</v>
      </c>
      <c r="Z21" s="8" t="s">
        <v>119</v>
      </c>
      <c r="AA21" s="3" t="s">
        <v>364</v>
      </c>
      <c r="AB21" s="7" t="s">
        <v>120</v>
      </c>
      <c r="AC21" s="7"/>
      <c r="AD21" s="7"/>
      <c r="AE21" s="2" t="s">
        <v>365</v>
      </c>
      <c r="AF21" s="9">
        <v>101.0</v>
      </c>
      <c r="AG21" s="9">
        <v>401.0</v>
      </c>
      <c r="AH21" s="9"/>
      <c r="AI21" s="9"/>
      <c r="AJ21" s="9"/>
      <c r="AK21" s="9"/>
      <c r="AL21" s="2" t="s">
        <v>366</v>
      </c>
      <c r="AM21" s="5" t="s">
        <v>366</v>
      </c>
      <c r="AN21" s="9">
        <v>403.0</v>
      </c>
      <c r="AO21" s="9"/>
      <c r="AP21" s="9"/>
      <c r="AQ21" s="9"/>
      <c r="AR21" s="9"/>
      <c r="AS21" s="2" t="s">
        <v>123</v>
      </c>
      <c r="AT21" s="2" t="s">
        <v>367</v>
      </c>
      <c r="AU21" s="9">
        <v>202.0</v>
      </c>
      <c r="AV21" s="9">
        <v>201.0</v>
      </c>
      <c r="AW21" s="9"/>
      <c r="AX21" s="2" t="s">
        <v>368</v>
      </c>
      <c r="AY21" s="1" t="s">
        <v>77</v>
      </c>
      <c r="AZ21" s="1" t="s">
        <v>127</v>
      </c>
      <c r="BA21" s="2" t="s">
        <v>79</v>
      </c>
      <c r="BB21" s="2" t="s">
        <v>369</v>
      </c>
      <c r="BC21" s="1" t="s">
        <v>144</v>
      </c>
    </row>
    <row r="22" ht="15.75" customHeight="1">
      <c r="A22" s="2">
        <f t="shared" si="2"/>
        <v>21</v>
      </c>
      <c r="B22" s="2" t="s">
        <v>370</v>
      </c>
      <c r="C22" s="2" t="s">
        <v>53</v>
      </c>
      <c r="D22" s="2" t="s">
        <v>84</v>
      </c>
      <c r="E22" s="2" t="s">
        <v>371</v>
      </c>
      <c r="F22" s="2" t="s">
        <v>372</v>
      </c>
      <c r="G22" s="2" t="s">
        <v>111</v>
      </c>
      <c r="H22" s="2" t="s">
        <v>373</v>
      </c>
      <c r="I22" s="2" t="s">
        <v>362</v>
      </c>
      <c r="J22" s="2" t="s">
        <v>296</v>
      </c>
      <c r="K22" s="2" t="s">
        <v>149</v>
      </c>
      <c r="L22" s="2" t="s">
        <v>374</v>
      </c>
      <c r="M22" s="1" t="s">
        <v>61</v>
      </c>
      <c r="N22" s="2" t="str">
        <f t="shared" si="1"/>
        <v>Mujer Interior Coalición CM desinformadas</v>
      </c>
      <c r="O22" s="2" t="s">
        <v>62</v>
      </c>
      <c r="P22" s="6" t="s">
        <v>375</v>
      </c>
      <c r="Q22" s="7" t="s">
        <v>208</v>
      </c>
      <c r="R22" s="7"/>
      <c r="S22" s="7"/>
      <c r="T22" s="7"/>
      <c r="U22" s="8" t="s">
        <v>115</v>
      </c>
      <c r="V22" s="8" t="s">
        <v>209</v>
      </c>
      <c r="W22" s="2" t="s">
        <v>88</v>
      </c>
      <c r="X22" s="2" t="s">
        <v>376</v>
      </c>
      <c r="Y22" s="8" t="s">
        <v>194</v>
      </c>
      <c r="Z22" s="8" t="s">
        <v>195</v>
      </c>
      <c r="AA22" s="3" t="s">
        <v>376</v>
      </c>
      <c r="AB22" s="7" t="s">
        <v>97</v>
      </c>
      <c r="AC22" s="7"/>
      <c r="AD22" s="7"/>
      <c r="AE22" s="2" t="s">
        <v>377</v>
      </c>
      <c r="AF22" s="9">
        <v>402.0</v>
      </c>
      <c r="AG22" s="9"/>
      <c r="AH22" s="9"/>
      <c r="AI22" s="9"/>
      <c r="AJ22" s="9"/>
      <c r="AK22" s="9"/>
      <c r="AL22" s="2" t="s">
        <v>378</v>
      </c>
      <c r="AM22" s="5" t="s">
        <v>378</v>
      </c>
      <c r="AN22" s="9">
        <v>403.0</v>
      </c>
      <c r="AO22" s="9"/>
      <c r="AP22" s="9"/>
      <c r="AQ22" s="9"/>
      <c r="AR22" s="9"/>
      <c r="AS22" s="2" t="s">
        <v>123</v>
      </c>
      <c r="AT22" s="2" t="s">
        <v>379</v>
      </c>
      <c r="AU22" s="9">
        <v>201.0</v>
      </c>
      <c r="AV22" s="9"/>
      <c r="AW22" s="9"/>
      <c r="AX22" s="2" t="s">
        <v>380</v>
      </c>
      <c r="AY22" s="1" t="s">
        <v>77</v>
      </c>
      <c r="AZ22" s="1" t="s">
        <v>127</v>
      </c>
      <c r="BA22" s="2" t="s">
        <v>79</v>
      </c>
      <c r="BB22" s="2" t="s">
        <v>381</v>
      </c>
      <c r="BC22" s="1" t="s">
        <v>144</v>
      </c>
    </row>
    <row r="23" ht="15.75" customHeight="1">
      <c r="A23" s="2">
        <f t="shared" si="2"/>
        <v>22</v>
      </c>
      <c r="B23" s="2" t="s">
        <v>382</v>
      </c>
      <c r="C23" s="2" t="s">
        <v>83</v>
      </c>
      <c r="D23" s="2" t="s">
        <v>84</v>
      </c>
      <c r="E23" s="2" t="s">
        <v>383</v>
      </c>
      <c r="F23" s="2" t="s">
        <v>278</v>
      </c>
      <c r="G23" s="2" t="s">
        <v>111</v>
      </c>
      <c r="H23" s="2" t="s">
        <v>384</v>
      </c>
      <c r="I23" s="2" t="s">
        <v>59</v>
      </c>
      <c r="J23" s="2" t="s">
        <v>278</v>
      </c>
      <c r="K23" s="2" t="s">
        <v>60</v>
      </c>
      <c r="L23" s="2" t="s">
        <v>311</v>
      </c>
      <c r="M23" s="1" t="s">
        <v>61</v>
      </c>
      <c r="N23" s="2" t="str">
        <f t="shared" si="1"/>
        <v>Mujer Montevideo FA oficialista_acerrimo</v>
      </c>
      <c r="O23" s="2" t="s">
        <v>67</v>
      </c>
      <c r="P23" s="6" t="s">
        <v>385</v>
      </c>
      <c r="Q23" s="7" t="s">
        <v>386</v>
      </c>
      <c r="R23" s="7" t="s">
        <v>114</v>
      </c>
      <c r="S23" s="7"/>
      <c r="T23" s="7"/>
      <c r="U23" s="8" t="s">
        <v>387</v>
      </c>
      <c r="V23" s="8" t="s">
        <v>388</v>
      </c>
      <c r="W23" s="2" t="s">
        <v>62</v>
      </c>
      <c r="X23" s="2" t="s">
        <v>389</v>
      </c>
      <c r="Y23" s="8" t="s">
        <v>69</v>
      </c>
      <c r="Z23" s="8" t="s">
        <v>236</v>
      </c>
      <c r="AA23" s="3" t="s">
        <v>389</v>
      </c>
      <c r="AB23" s="7" t="s">
        <v>237</v>
      </c>
      <c r="AC23" s="7"/>
      <c r="AD23" s="7"/>
      <c r="AE23" s="2" t="s">
        <v>390</v>
      </c>
      <c r="AF23" s="9">
        <v>501.0</v>
      </c>
      <c r="AG23" s="9">
        <v>101.0</v>
      </c>
      <c r="AH23" s="9">
        <v>203.0</v>
      </c>
      <c r="AI23" s="9"/>
      <c r="AJ23" s="9"/>
      <c r="AK23" s="9"/>
      <c r="AL23" s="2" t="s">
        <v>391</v>
      </c>
      <c r="AM23" s="5" t="s">
        <v>392</v>
      </c>
      <c r="AN23" s="9">
        <v>101.0</v>
      </c>
      <c r="AO23" s="9">
        <v>201.0</v>
      </c>
      <c r="AP23" s="9">
        <v>202.0</v>
      </c>
      <c r="AQ23" s="9"/>
      <c r="AR23" s="9"/>
      <c r="AS23" s="2" t="s">
        <v>123</v>
      </c>
      <c r="AT23" s="2" t="s">
        <v>393</v>
      </c>
      <c r="AU23" s="9">
        <v>201.0</v>
      </c>
      <c r="AV23" s="9">
        <v>302.0</v>
      </c>
      <c r="AW23" s="9"/>
      <c r="AX23" s="2" t="s">
        <v>394</v>
      </c>
      <c r="AY23" s="1" t="s">
        <v>77</v>
      </c>
      <c r="AZ23" s="1" t="s">
        <v>127</v>
      </c>
      <c r="BA23" s="2" t="s">
        <v>242</v>
      </c>
      <c r="BB23" s="2" t="s">
        <v>395</v>
      </c>
      <c r="BC23" s="1" t="s">
        <v>144</v>
      </c>
    </row>
    <row r="24" ht="15.75" customHeight="1">
      <c r="A24" s="2">
        <f t="shared" si="2"/>
        <v>23</v>
      </c>
      <c r="B24" s="2" t="s">
        <v>396</v>
      </c>
      <c r="C24" s="2" t="s">
        <v>109</v>
      </c>
      <c r="D24" s="2" t="s">
        <v>84</v>
      </c>
      <c r="E24" s="2" t="s">
        <v>397</v>
      </c>
      <c r="F24" s="2" t="s">
        <v>294</v>
      </c>
      <c r="G24" s="2" t="s">
        <v>205</v>
      </c>
      <c r="H24" s="2" t="s">
        <v>206</v>
      </c>
      <c r="I24" s="2" t="s">
        <v>59</v>
      </c>
      <c r="J24" s="2" t="s">
        <v>180</v>
      </c>
      <c r="K24" s="2" t="s">
        <v>60</v>
      </c>
      <c r="L24" s="2" t="s">
        <v>311</v>
      </c>
      <c r="M24" s="1" t="s">
        <v>61</v>
      </c>
      <c r="N24" s="2" t="str">
        <f t="shared" si="1"/>
        <v>Mujer Interior Frente Amplio FA oficialista_acerrimo</v>
      </c>
      <c r="O24" s="2" t="s">
        <v>67</v>
      </c>
      <c r="P24" s="6" t="s">
        <v>398</v>
      </c>
      <c r="Q24" s="7" t="s">
        <v>134</v>
      </c>
      <c r="R24" s="7" t="s">
        <v>263</v>
      </c>
      <c r="S24" s="7"/>
      <c r="T24" s="7"/>
      <c r="U24" s="8" t="s">
        <v>399</v>
      </c>
      <c r="V24" s="8" t="s">
        <v>400</v>
      </c>
      <c r="W24" s="2" t="s">
        <v>88</v>
      </c>
      <c r="X24" s="2" t="s">
        <v>401</v>
      </c>
      <c r="Y24" s="8" t="s">
        <v>118</v>
      </c>
      <c r="Z24" s="8" t="s">
        <v>119</v>
      </c>
      <c r="AA24" s="3" t="s">
        <v>401</v>
      </c>
      <c r="AB24" s="7" t="s">
        <v>120</v>
      </c>
      <c r="AC24" s="7"/>
      <c r="AD24" s="7"/>
      <c r="AE24" s="2" t="s">
        <v>402</v>
      </c>
      <c r="AF24" s="9">
        <v>402.0</v>
      </c>
      <c r="AG24" s="9">
        <v>101.0</v>
      </c>
      <c r="AH24" s="9">
        <v>401.0</v>
      </c>
      <c r="AI24" s="9">
        <v>202.0</v>
      </c>
      <c r="AJ24" s="9"/>
      <c r="AK24" s="9"/>
      <c r="AL24" s="2" t="s">
        <v>239</v>
      </c>
      <c r="AM24" s="5" t="s">
        <v>239</v>
      </c>
      <c r="AN24" s="9">
        <v>403.0</v>
      </c>
      <c r="AO24" s="9"/>
      <c r="AP24" s="9"/>
      <c r="AQ24" s="9"/>
      <c r="AR24" s="9"/>
      <c r="AS24" s="2" t="s">
        <v>123</v>
      </c>
      <c r="AT24" s="2" t="s">
        <v>403</v>
      </c>
      <c r="AU24" s="9">
        <v>203.0</v>
      </c>
      <c r="AV24" s="9">
        <v>201.0</v>
      </c>
      <c r="AW24" s="9"/>
      <c r="AX24" s="2" t="s">
        <v>404</v>
      </c>
      <c r="AY24" s="1" t="s">
        <v>105</v>
      </c>
      <c r="AZ24" s="1" t="s">
        <v>227</v>
      </c>
      <c r="BA24" s="2" t="s">
        <v>174</v>
      </c>
      <c r="BB24" s="2" t="s">
        <v>405</v>
      </c>
      <c r="BC24" s="1" t="s">
        <v>129</v>
      </c>
    </row>
    <row r="25" ht="15.75" customHeight="1">
      <c r="A25" s="2">
        <f t="shared" si="2"/>
        <v>24</v>
      </c>
      <c r="B25" s="2" t="s">
        <v>406</v>
      </c>
      <c r="C25" s="2" t="s">
        <v>83</v>
      </c>
      <c r="D25" s="2" t="s">
        <v>54</v>
      </c>
      <c r="E25" s="2" t="s">
        <v>407</v>
      </c>
      <c r="F25" s="2" t="s">
        <v>278</v>
      </c>
      <c r="G25" s="2" t="s">
        <v>111</v>
      </c>
      <c r="H25" s="2" t="s">
        <v>408</v>
      </c>
      <c r="I25" s="2" t="s">
        <v>59</v>
      </c>
      <c r="J25" s="2" t="s">
        <v>278</v>
      </c>
      <c r="K25" s="2" t="s">
        <v>60</v>
      </c>
      <c r="L25" s="2" t="s">
        <v>409</v>
      </c>
      <c r="M25" s="1" t="s">
        <v>61</v>
      </c>
      <c r="N25" s="2" t="str">
        <f t="shared" si="1"/>
        <v>Hombre Montevideo FA dialoguista</v>
      </c>
      <c r="O25" s="2" t="s">
        <v>88</v>
      </c>
      <c r="P25" s="6" t="s">
        <v>410</v>
      </c>
      <c r="Q25" s="7" t="s">
        <v>165</v>
      </c>
      <c r="R25" s="7"/>
      <c r="S25" s="7"/>
      <c r="T25" s="7"/>
      <c r="U25" s="8" t="s">
        <v>135</v>
      </c>
      <c r="V25" s="8" t="s">
        <v>411</v>
      </c>
      <c r="W25" s="2" t="s">
        <v>62</v>
      </c>
      <c r="X25" s="2" t="s">
        <v>412</v>
      </c>
      <c r="Y25" s="8" t="s">
        <v>266</v>
      </c>
      <c r="Z25" s="8" t="s">
        <v>413</v>
      </c>
      <c r="AA25" s="3" t="s">
        <v>414</v>
      </c>
      <c r="AB25" s="7" t="s">
        <v>270</v>
      </c>
      <c r="AC25" s="7" t="s">
        <v>214</v>
      </c>
      <c r="AD25" s="7" t="s">
        <v>285</v>
      </c>
      <c r="AE25" s="2" t="s">
        <v>415</v>
      </c>
      <c r="AF25" s="9">
        <v>302.0</v>
      </c>
      <c r="AG25" s="9">
        <v>202.0</v>
      </c>
      <c r="AH25" s="9">
        <v>204.0</v>
      </c>
      <c r="AI25" s="9"/>
      <c r="AJ25" s="9"/>
      <c r="AK25" s="9"/>
      <c r="AL25" s="2" t="s">
        <v>416</v>
      </c>
      <c r="AM25" s="5" t="s">
        <v>416</v>
      </c>
      <c r="AN25" s="9">
        <v>403.0</v>
      </c>
      <c r="AO25" s="9"/>
      <c r="AP25" s="9"/>
      <c r="AQ25" s="9"/>
      <c r="AR25" s="9"/>
      <c r="AS25" s="2" t="s">
        <v>74</v>
      </c>
      <c r="AT25" s="2" t="s">
        <v>417</v>
      </c>
      <c r="AU25" s="9">
        <v>101.0</v>
      </c>
      <c r="AV25" s="9"/>
      <c r="AW25" s="9"/>
      <c r="AX25" s="2" t="s">
        <v>418</v>
      </c>
      <c r="AY25" s="1" t="s">
        <v>105</v>
      </c>
      <c r="AZ25" s="1" t="s">
        <v>78</v>
      </c>
      <c r="BA25" s="2" t="s">
        <v>242</v>
      </c>
      <c r="BB25" s="2" t="s">
        <v>419</v>
      </c>
      <c r="BC25" s="1" t="s">
        <v>81</v>
      </c>
    </row>
    <row r="26" ht="15.75" customHeight="1">
      <c r="A26" s="2">
        <f t="shared" si="2"/>
        <v>25</v>
      </c>
      <c r="B26" s="2" t="s">
        <v>420</v>
      </c>
      <c r="C26" s="2" t="s">
        <v>109</v>
      </c>
      <c r="D26" s="2" t="s">
        <v>54</v>
      </c>
      <c r="E26" s="2" t="s">
        <v>421</v>
      </c>
      <c r="F26" s="2" t="s">
        <v>372</v>
      </c>
      <c r="G26" s="2" t="s">
        <v>422</v>
      </c>
      <c r="H26" s="2" t="s">
        <v>423</v>
      </c>
      <c r="I26" s="2" t="s">
        <v>59</v>
      </c>
      <c r="J26" s="2" t="s">
        <v>180</v>
      </c>
      <c r="K26" s="2" t="s">
        <v>60</v>
      </c>
      <c r="L26" s="2" t="s">
        <v>311</v>
      </c>
      <c r="M26" s="1" t="s">
        <v>61</v>
      </c>
      <c r="N26" s="2" t="str">
        <f t="shared" si="1"/>
        <v>Hombre Interior Frente Amplio FA oficialista_acerrimo</v>
      </c>
      <c r="O26" s="2" t="s">
        <v>67</v>
      </c>
      <c r="P26" s="6" t="s">
        <v>424</v>
      </c>
      <c r="Q26" s="7" t="s">
        <v>90</v>
      </c>
      <c r="R26" s="7" t="s">
        <v>134</v>
      </c>
      <c r="S26" s="7"/>
      <c r="T26" s="7"/>
      <c r="U26" s="8" t="s">
        <v>387</v>
      </c>
      <c r="V26" s="8" t="s">
        <v>425</v>
      </c>
      <c r="W26" s="2" t="s">
        <v>62</v>
      </c>
      <c r="X26" s="2" t="s">
        <v>426</v>
      </c>
      <c r="Y26" s="8" t="s">
        <v>194</v>
      </c>
      <c r="Z26" s="8" t="s">
        <v>195</v>
      </c>
      <c r="AA26" s="3" t="s">
        <v>426</v>
      </c>
      <c r="AB26" s="7" t="s">
        <v>97</v>
      </c>
      <c r="AC26" s="7"/>
      <c r="AD26" s="7"/>
      <c r="AE26" s="2" t="s">
        <v>427</v>
      </c>
      <c r="AF26" s="9">
        <v>201.0</v>
      </c>
      <c r="AG26" s="9">
        <v>202.0</v>
      </c>
      <c r="AH26" s="9"/>
      <c r="AI26" s="9"/>
      <c r="AJ26" s="9"/>
      <c r="AK26" s="9"/>
      <c r="AL26" s="2" t="s">
        <v>428</v>
      </c>
      <c r="AM26" s="5" t="s">
        <v>428</v>
      </c>
      <c r="AN26" s="9">
        <v>401.0</v>
      </c>
      <c r="AO26" s="9"/>
      <c r="AP26" s="9"/>
      <c r="AQ26" s="9"/>
      <c r="AR26" s="9"/>
      <c r="AS26" s="2" t="s">
        <v>123</v>
      </c>
      <c r="AT26" s="2" t="s">
        <v>429</v>
      </c>
      <c r="AU26" s="9">
        <v>202.0</v>
      </c>
      <c r="AV26" s="9"/>
      <c r="AW26" s="9"/>
      <c r="AX26" s="2" t="s">
        <v>430</v>
      </c>
      <c r="AY26" s="1" t="s">
        <v>77</v>
      </c>
      <c r="AZ26" s="1" t="s">
        <v>129</v>
      </c>
      <c r="BA26" s="2" t="s">
        <v>242</v>
      </c>
      <c r="BB26" s="2" t="s">
        <v>431</v>
      </c>
      <c r="BC26" s="1" t="s">
        <v>432</v>
      </c>
    </row>
    <row r="27" ht="15.75" customHeight="1">
      <c r="A27" s="2">
        <f t="shared" si="2"/>
        <v>26</v>
      </c>
      <c r="B27" s="2" t="s">
        <v>433</v>
      </c>
      <c r="C27" s="2" t="s">
        <v>83</v>
      </c>
      <c r="D27" s="2" t="s">
        <v>84</v>
      </c>
      <c r="E27" s="2" t="s">
        <v>434</v>
      </c>
      <c r="F27" s="2" t="s">
        <v>56</v>
      </c>
      <c r="G27" s="2" t="s">
        <v>111</v>
      </c>
      <c r="H27" s="2" t="s">
        <v>435</v>
      </c>
      <c r="I27" s="2" t="s">
        <v>59</v>
      </c>
      <c r="J27" s="2" t="s">
        <v>56</v>
      </c>
      <c r="K27" s="2" t="s">
        <v>60</v>
      </c>
      <c r="L27" s="2" t="s">
        <v>311</v>
      </c>
      <c r="M27" s="1" t="s">
        <v>61</v>
      </c>
      <c r="N27" s="2" t="str">
        <f t="shared" si="1"/>
        <v>Mujer Canelones FA oficialista_acerrimo</v>
      </c>
      <c r="O27" s="2" t="s">
        <v>67</v>
      </c>
      <c r="P27" s="6" t="s">
        <v>436</v>
      </c>
      <c r="Q27" s="7" t="s">
        <v>437</v>
      </c>
      <c r="R27" s="7"/>
      <c r="S27" s="7"/>
      <c r="T27" s="7"/>
      <c r="U27" s="8" t="s">
        <v>151</v>
      </c>
      <c r="V27" s="8" t="s">
        <v>438</v>
      </c>
      <c r="W27" s="2" t="s">
        <v>210</v>
      </c>
      <c r="X27" s="2" t="s">
        <v>439</v>
      </c>
      <c r="Y27" s="8" t="s">
        <v>118</v>
      </c>
      <c r="Z27" s="8" t="s">
        <v>440</v>
      </c>
      <c r="AA27" s="3" t="s">
        <v>439</v>
      </c>
      <c r="AB27" s="7" t="s">
        <v>97</v>
      </c>
      <c r="AC27" s="7"/>
      <c r="AD27" s="7"/>
      <c r="AE27" s="2" t="s">
        <v>441</v>
      </c>
      <c r="AF27" s="9">
        <v>501.0</v>
      </c>
      <c r="AG27" s="9"/>
      <c r="AH27" s="9"/>
      <c r="AI27" s="9"/>
      <c r="AJ27" s="9"/>
      <c r="AK27" s="9"/>
      <c r="AL27" s="2" t="s">
        <v>442</v>
      </c>
      <c r="AM27" s="5" t="s">
        <v>442</v>
      </c>
      <c r="AN27" s="9">
        <v>203.0</v>
      </c>
      <c r="AO27" s="9"/>
      <c r="AP27" s="9"/>
      <c r="AQ27" s="9"/>
      <c r="AR27" s="9"/>
      <c r="AS27" s="2" t="s">
        <v>123</v>
      </c>
      <c r="AT27" s="2" t="s">
        <v>443</v>
      </c>
      <c r="AU27" s="9">
        <v>204.0</v>
      </c>
      <c r="AV27" s="9"/>
      <c r="AW27" s="9"/>
      <c r="AX27" s="2" t="s">
        <v>444</v>
      </c>
      <c r="AY27" s="1" t="s">
        <v>77</v>
      </c>
      <c r="AZ27" s="1" t="s">
        <v>127</v>
      </c>
      <c r="BA27" s="2" t="s">
        <v>79</v>
      </c>
      <c r="BB27" s="2" t="s">
        <v>445</v>
      </c>
      <c r="BC27" s="1" t="s">
        <v>81</v>
      </c>
    </row>
    <row r="28" ht="15.75" customHeight="1">
      <c r="A28" s="2">
        <f t="shared" si="2"/>
        <v>27</v>
      </c>
      <c r="B28" s="2" t="s">
        <v>446</v>
      </c>
      <c r="C28" s="2" t="s">
        <v>83</v>
      </c>
      <c r="D28" s="2" t="s">
        <v>54</v>
      </c>
      <c r="E28" s="2" t="s">
        <v>447</v>
      </c>
      <c r="F28" s="2" t="s">
        <v>360</v>
      </c>
      <c r="G28" s="2" t="s">
        <v>57</v>
      </c>
      <c r="H28" s="2" t="s">
        <v>448</v>
      </c>
      <c r="I28" s="2" t="s">
        <v>59</v>
      </c>
      <c r="J28" s="2" t="s">
        <v>180</v>
      </c>
      <c r="K28" s="2" t="s">
        <v>60</v>
      </c>
      <c r="L28" s="2" t="s">
        <v>311</v>
      </c>
      <c r="M28" s="1" t="s">
        <v>61</v>
      </c>
      <c r="N28" s="2" t="str">
        <f t="shared" si="1"/>
        <v>Hombre Interior Frente Amplio FA oficialista_acerrimo</v>
      </c>
      <c r="O28" s="2" t="s">
        <v>62</v>
      </c>
      <c r="P28" s="6" t="s">
        <v>449</v>
      </c>
      <c r="Q28" s="7" t="s">
        <v>165</v>
      </c>
      <c r="R28" s="7"/>
      <c r="S28" s="7"/>
      <c r="T28" s="7"/>
      <c r="U28" s="8" t="s">
        <v>450</v>
      </c>
      <c r="V28" s="8" t="s">
        <v>451</v>
      </c>
      <c r="W28" s="2" t="s">
        <v>62</v>
      </c>
      <c r="X28" s="2" t="s">
        <v>452</v>
      </c>
      <c r="Y28" s="8" t="s">
        <v>266</v>
      </c>
      <c r="Z28" s="8" t="s">
        <v>413</v>
      </c>
      <c r="AA28" s="3" t="s">
        <v>452</v>
      </c>
      <c r="AB28" s="7" t="s">
        <v>270</v>
      </c>
      <c r="AC28" s="7"/>
      <c r="AD28" s="7"/>
      <c r="AE28" s="2" t="s">
        <v>453</v>
      </c>
      <c r="AF28" s="9">
        <v>102.0</v>
      </c>
      <c r="AG28" s="9"/>
      <c r="AH28" s="9"/>
      <c r="AI28" s="9"/>
      <c r="AJ28" s="9"/>
      <c r="AK28" s="9"/>
      <c r="AL28" s="2" t="s">
        <v>454</v>
      </c>
      <c r="AM28" s="5" t="s">
        <v>454</v>
      </c>
      <c r="AN28" s="9">
        <v>101.0</v>
      </c>
      <c r="AO28" s="9"/>
      <c r="AP28" s="9"/>
      <c r="AQ28" s="9"/>
      <c r="AR28" s="9"/>
      <c r="AS28" s="2" t="s">
        <v>123</v>
      </c>
      <c r="AT28" s="2" t="s">
        <v>455</v>
      </c>
      <c r="AU28" s="9">
        <v>401.0</v>
      </c>
      <c r="AV28" s="9"/>
      <c r="AW28" s="9"/>
      <c r="AX28" s="2" t="s">
        <v>456</v>
      </c>
      <c r="AY28" s="1" t="s">
        <v>258</v>
      </c>
      <c r="AZ28" s="1" t="s">
        <v>129</v>
      </c>
      <c r="BA28" s="2" t="s">
        <v>228</v>
      </c>
      <c r="BB28" s="2" t="s">
        <v>457</v>
      </c>
      <c r="BC28" s="1" t="s">
        <v>81</v>
      </c>
    </row>
    <row r="29" ht="15.75" customHeight="1">
      <c r="A29" s="2">
        <f t="shared" si="2"/>
        <v>28</v>
      </c>
      <c r="B29" s="2" t="s">
        <v>458</v>
      </c>
      <c r="C29" s="2" t="s">
        <v>109</v>
      </c>
      <c r="D29" s="2" t="s">
        <v>84</v>
      </c>
      <c r="E29" s="2" t="s">
        <v>459</v>
      </c>
      <c r="F29" s="2" t="s">
        <v>460</v>
      </c>
      <c r="G29" s="2" t="s">
        <v>205</v>
      </c>
      <c r="H29" s="2" t="s">
        <v>206</v>
      </c>
      <c r="I29" s="2" t="s">
        <v>246</v>
      </c>
      <c r="J29" s="2" t="s">
        <v>296</v>
      </c>
      <c r="K29" s="2" t="s">
        <v>149</v>
      </c>
      <c r="L29" s="2" t="s">
        <v>409</v>
      </c>
      <c r="M29" s="1" t="s">
        <v>61</v>
      </c>
      <c r="N29" s="2" t="str">
        <f t="shared" si="1"/>
        <v>Mujer Interior Coalición CM dialoguista</v>
      </c>
      <c r="O29" s="2" t="s">
        <v>88</v>
      </c>
      <c r="P29" s="6" t="s">
        <v>461</v>
      </c>
      <c r="Q29" s="7" t="s">
        <v>462</v>
      </c>
      <c r="R29" s="7" t="s">
        <v>64</v>
      </c>
      <c r="S29" s="7"/>
      <c r="T29" s="7"/>
      <c r="U29" s="8" t="s">
        <v>115</v>
      </c>
      <c r="V29" s="8" t="s">
        <v>209</v>
      </c>
      <c r="W29" s="2" t="s">
        <v>67</v>
      </c>
      <c r="X29" s="2" t="s">
        <v>463</v>
      </c>
      <c r="Y29" s="8" t="s">
        <v>194</v>
      </c>
      <c r="Z29" s="8" t="s">
        <v>464</v>
      </c>
      <c r="AA29" s="3" t="s">
        <v>463</v>
      </c>
      <c r="AB29" s="7" t="s">
        <v>98</v>
      </c>
      <c r="AC29" s="7" t="s">
        <v>214</v>
      </c>
      <c r="AD29" s="7"/>
      <c r="AE29" s="2" t="s">
        <v>465</v>
      </c>
      <c r="AF29" s="9">
        <v>101.0</v>
      </c>
      <c r="AG29" s="9">
        <v>402.0</v>
      </c>
      <c r="AH29" s="9"/>
      <c r="AI29" s="9"/>
      <c r="AJ29" s="9"/>
      <c r="AK29" s="9"/>
      <c r="AL29" s="2" t="s">
        <v>466</v>
      </c>
      <c r="AM29" s="5" t="s">
        <v>466</v>
      </c>
      <c r="AN29" s="9">
        <v>403.0</v>
      </c>
      <c r="AO29" s="9"/>
      <c r="AP29" s="9"/>
      <c r="AQ29" s="9"/>
      <c r="AR29" s="9"/>
      <c r="AS29" s="2" t="s">
        <v>139</v>
      </c>
      <c r="AT29" s="2" t="s">
        <v>467</v>
      </c>
      <c r="AU29" s="9">
        <v>302.0</v>
      </c>
      <c r="AV29" s="9"/>
      <c r="AW29" s="9"/>
      <c r="AX29" s="2" t="s">
        <v>468</v>
      </c>
      <c r="AY29" s="1" t="s">
        <v>105</v>
      </c>
      <c r="AZ29" s="1" t="s">
        <v>187</v>
      </c>
      <c r="BA29" s="2" t="s">
        <v>79</v>
      </c>
      <c r="BB29" s="2" t="s">
        <v>469</v>
      </c>
      <c r="BC29" s="1" t="s">
        <v>470</v>
      </c>
    </row>
    <row r="30" ht="15.75" customHeight="1">
      <c r="A30" s="2">
        <f t="shared" si="2"/>
        <v>29</v>
      </c>
      <c r="B30" s="2" t="s">
        <v>471</v>
      </c>
      <c r="C30" s="2" t="s">
        <v>53</v>
      </c>
      <c r="D30" s="2" t="s">
        <v>84</v>
      </c>
      <c r="E30" s="2" t="s">
        <v>472</v>
      </c>
      <c r="F30" s="2" t="s">
        <v>473</v>
      </c>
      <c r="G30" s="2" t="s">
        <v>232</v>
      </c>
      <c r="H30" s="2" t="s">
        <v>474</v>
      </c>
      <c r="I30" s="2" t="s">
        <v>246</v>
      </c>
      <c r="J30" s="2" t="s">
        <v>296</v>
      </c>
      <c r="K30" s="2" t="s">
        <v>149</v>
      </c>
      <c r="L30" s="2" t="s">
        <v>475</v>
      </c>
      <c r="M30" s="1" t="s">
        <v>61</v>
      </c>
      <c r="N30" s="2" t="str">
        <f t="shared" si="1"/>
        <v>Mujer Interior Coalición CM oposicion_cerril</v>
      </c>
      <c r="O30" s="2" t="s">
        <v>88</v>
      </c>
      <c r="P30" s="6" t="s">
        <v>476</v>
      </c>
      <c r="Q30" s="7" t="s">
        <v>208</v>
      </c>
      <c r="R30" s="7"/>
      <c r="S30" s="7"/>
      <c r="T30" s="7"/>
      <c r="U30" s="8" t="s">
        <v>337</v>
      </c>
      <c r="V30" s="8" t="s">
        <v>477</v>
      </c>
      <c r="W30" s="2" t="s">
        <v>67</v>
      </c>
      <c r="X30" s="2" t="s">
        <v>478</v>
      </c>
      <c r="Y30" s="8" t="s">
        <v>94</v>
      </c>
      <c r="Z30" s="8" t="s">
        <v>283</v>
      </c>
      <c r="AA30" s="3" t="s">
        <v>479</v>
      </c>
      <c r="AB30" s="7" t="s">
        <v>71</v>
      </c>
      <c r="AC30" s="7" t="s">
        <v>155</v>
      </c>
      <c r="AD30" s="7" t="s">
        <v>480</v>
      </c>
      <c r="AE30" s="2" t="s">
        <v>481</v>
      </c>
      <c r="AF30" s="9">
        <v>401.0</v>
      </c>
      <c r="AG30" s="9">
        <v>402.0</v>
      </c>
      <c r="AH30" s="9"/>
      <c r="AI30" s="9"/>
      <c r="AJ30" s="9"/>
      <c r="AK30" s="9"/>
      <c r="AL30" s="2" t="s">
        <v>482</v>
      </c>
      <c r="AM30" s="5" t="s">
        <v>483</v>
      </c>
      <c r="AN30" s="9">
        <v>101.0</v>
      </c>
      <c r="AO30" s="9">
        <v>102.0</v>
      </c>
      <c r="AP30" s="9">
        <v>106.0</v>
      </c>
      <c r="AQ30" s="9"/>
      <c r="AR30" s="9"/>
      <c r="AS30" s="2" t="s">
        <v>102</v>
      </c>
      <c r="AT30" s="2" t="s">
        <v>484</v>
      </c>
      <c r="AU30" s="9">
        <v>101.0</v>
      </c>
      <c r="AV30" s="9"/>
      <c r="AW30" s="9"/>
      <c r="AX30" s="2" t="s">
        <v>485</v>
      </c>
      <c r="AY30" s="1" t="s">
        <v>105</v>
      </c>
      <c r="AZ30" s="1" t="s">
        <v>129</v>
      </c>
      <c r="BA30" s="2" t="s">
        <v>79</v>
      </c>
      <c r="BB30" s="2" t="s">
        <v>486</v>
      </c>
      <c r="BC30" s="1" t="s">
        <v>129</v>
      </c>
    </row>
    <row r="31" ht="15.75" customHeight="1">
      <c r="A31" s="2">
        <f t="shared" si="2"/>
        <v>30</v>
      </c>
      <c r="B31" s="2" t="s">
        <v>487</v>
      </c>
      <c r="C31" s="2" t="s">
        <v>83</v>
      </c>
      <c r="D31" s="2" t="s">
        <v>54</v>
      </c>
      <c r="E31" s="2" t="s">
        <v>488</v>
      </c>
      <c r="F31" s="2" t="s">
        <v>278</v>
      </c>
      <c r="G31" s="2" t="s">
        <v>111</v>
      </c>
      <c r="H31" s="2" t="s">
        <v>489</v>
      </c>
      <c r="I31" s="2" t="s">
        <v>59</v>
      </c>
      <c r="J31" s="2" t="s">
        <v>278</v>
      </c>
      <c r="K31" s="2" t="s">
        <v>60</v>
      </c>
      <c r="L31" s="2" t="s">
        <v>409</v>
      </c>
      <c r="M31" s="1" t="s">
        <v>61</v>
      </c>
      <c r="N31" s="2" t="str">
        <f t="shared" si="1"/>
        <v>Hombre Montevideo FA dialoguista</v>
      </c>
      <c r="O31" s="2" t="s">
        <v>62</v>
      </c>
      <c r="P31" s="6" t="s">
        <v>490</v>
      </c>
      <c r="Q31" s="7" t="s">
        <v>336</v>
      </c>
      <c r="R31" s="7"/>
      <c r="S31" s="7"/>
      <c r="T31" s="7"/>
      <c r="U31" s="8" t="s">
        <v>115</v>
      </c>
      <c r="V31" s="8" t="s">
        <v>209</v>
      </c>
      <c r="W31" s="2" t="s">
        <v>62</v>
      </c>
      <c r="X31" s="2" t="s">
        <v>491</v>
      </c>
      <c r="Y31" s="8" t="s">
        <v>194</v>
      </c>
      <c r="Z31" s="8" t="s">
        <v>212</v>
      </c>
      <c r="AA31" s="3" t="s">
        <v>492</v>
      </c>
      <c r="AB31" s="7" t="s">
        <v>214</v>
      </c>
      <c r="AC31" s="7" t="s">
        <v>270</v>
      </c>
      <c r="AD31" s="7" t="s">
        <v>285</v>
      </c>
      <c r="AE31" s="2" t="s">
        <v>493</v>
      </c>
      <c r="AF31" s="9">
        <v>503.0</v>
      </c>
      <c r="AG31" s="9">
        <v>403.0</v>
      </c>
      <c r="AH31" s="9"/>
      <c r="AI31" s="9"/>
      <c r="AJ31" s="9"/>
      <c r="AK31" s="9"/>
      <c r="AL31" s="2" t="s">
        <v>494</v>
      </c>
      <c r="AM31" s="5" t="s">
        <v>494</v>
      </c>
      <c r="AN31" s="9">
        <v>403.0</v>
      </c>
      <c r="AO31" s="9"/>
      <c r="AP31" s="9"/>
      <c r="AQ31" s="9"/>
      <c r="AR31" s="9"/>
      <c r="AS31" s="2" t="s">
        <v>74</v>
      </c>
      <c r="AT31" s="2" t="s">
        <v>495</v>
      </c>
      <c r="AU31" s="9">
        <v>101.0</v>
      </c>
      <c r="AV31" s="9"/>
      <c r="AW31" s="9"/>
      <c r="AX31" s="2" t="s">
        <v>496</v>
      </c>
      <c r="AY31" s="1" t="s">
        <v>258</v>
      </c>
      <c r="AZ31" s="1" t="s">
        <v>127</v>
      </c>
      <c r="BA31" s="2" t="s">
        <v>228</v>
      </c>
      <c r="BB31" s="2" t="s">
        <v>497</v>
      </c>
      <c r="BC31" s="1" t="s">
        <v>291</v>
      </c>
    </row>
    <row r="32" ht="15.75" customHeight="1">
      <c r="A32" s="2">
        <f t="shared" si="2"/>
        <v>31</v>
      </c>
      <c r="B32" s="2" t="s">
        <v>498</v>
      </c>
      <c r="C32" s="2" t="s">
        <v>83</v>
      </c>
      <c r="D32" s="2" t="s">
        <v>84</v>
      </c>
      <c r="E32" s="2" t="s">
        <v>499</v>
      </c>
      <c r="F32" s="2" t="s">
        <v>500</v>
      </c>
      <c r="G32" s="2" t="s">
        <v>57</v>
      </c>
      <c r="H32" s="2" t="s">
        <v>501</v>
      </c>
      <c r="I32" s="2" t="s">
        <v>246</v>
      </c>
      <c r="J32" s="2" t="s">
        <v>296</v>
      </c>
      <c r="K32" s="2" t="s">
        <v>149</v>
      </c>
      <c r="L32" s="2" t="s">
        <v>475</v>
      </c>
      <c r="M32" s="1" t="s">
        <v>61</v>
      </c>
      <c r="N32" s="2" t="str">
        <f t="shared" si="1"/>
        <v>Mujer Interior Coalición CM oposicion_cerril</v>
      </c>
      <c r="O32" s="2" t="s">
        <v>62</v>
      </c>
      <c r="P32" s="6" t="s">
        <v>502</v>
      </c>
      <c r="Q32" s="7" t="s">
        <v>64</v>
      </c>
      <c r="R32" s="7" t="s">
        <v>208</v>
      </c>
      <c r="S32" s="7"/>
      <c r="T32" s="7"/>
      <c r="U32" s="8" t="s">
        <v>450</v>
      </c>
      <c r="V32" s="8" t="s">
        <v>451</v>
      </c>
      <c r="W32" s="2" t="s">
        <v>67</v>
      </c>
      <c r="X32" s="2" t="s">
        <v>503</v>
      </c>
      <c r="Y32" s="8" t="s">
        <v>94</v>
      </c>
      <c r="Z32" s="8" t="s">
        <v>154</v>
      </c>
      <c r="AA32" s="3" t="s">
        <v>503</v>
      </c>
      <c r="AB32" s="7" t="s">
        <v>71</v>
      </c>
      <c r="AC32" s="7" t="s">
        <v>155</v>
      </c>
      <c r="AD32" s="7"/>
      <c r="AE32" s="2" t="s">
        <v>504</v>
      </c>
      <c r="AF32" s="9">
        <v>302.0</v>
      </c>
      <c r="AG32" s="9">
        <v>304.0</v>
      </c>
      <c r="AH32" s="9"/>
      <c r="AI32" s="9"/>
      <c r="AJ32" s="9"/>
      <c r="AK32" s="9"/>
      <c r="AL32" s="2" t="s">
        <v>505</v>
      </c>
      <c r="AM32" s="5" t="s">
        <v>505</v>
      </c>
      <c r="AN32" s="9">
        <v>403.0</v>
      </c>
      <c r="AO32" s="9"/>
      <c r="AP32" s="9"/>
      <c r="AQ32" s="9"/>
      <c r="AR32" s="9"/>
      <c r="AS32" s="2" t="s">
        <v>123</v>
      </c>
      <c r="AT32" s="1" t="s">
        <v>506</v>
      </c>
      <c r="AU32" s="9">
        <v>402.0</v>
      </c>
      <c r="AV32" s="9"/>
      <c r="AW32" s="9"/>
      <c r="AX32" s="2" t="s">
        <v>507</v>
      </c>
      <c r="AY32" s="1" t="s">
        <v>77</v>
      </c>
      <c r="AZ32" s="1" t="s">
        <v>127</v>
      </c>
      <c r="BA32" s="2" t="s">
        <v>79</v>
      </c>
      <c r="BB32" s="2" t="s">
        <v>508</v>
      </c>
      <c r="BC32" s="1" t="s">
        <v>81</v>
      </c>
    </row>
    <row r="33" ht="15.75" customHeight="1">
      <c r="A33" s="2">
        <f t="shared" si="2"/>
        <v>32</v>
      </c>
      <c r="B33" s="2" t="s">
        <v>509</v>
      </c>
      <c r="C33" s="2" t="s">
        <v>109</v>
      </c>
      <c r="D33" s="2" t="s">
        <v>84</v>
      </c>
      <c r="E33" s="2" t="s">
        <v>510</v>
      </c>
      <c r="F33" s="2" t="s">
        <v>294</v>
      </c>
      <c r="G33" s="2" t="s">
        <v>57</v>
      </c>
      <c r="H33" s="2" t="s">
        <v>206</v>
      </c>
      <c r="I33" s="2" t="s">
        <v>246</v>
      </c>
      <c r="J33" s="2" t="s">
        <v>296</v>
      </c>
      <c r="K33" s="2" t="s">
        <v>149</v>
      </c>
      <c r="L33" s="2" t="s">
        <v>280</v>
      </c>
      <c r="M33" s="1" t="s">
        <v>61</v>
      </c>
      <c r="N33" s="2" t="str">
        <f t="shared" si="1"/>
        <v>Mujer Interior Coalición CM oficialista_abierto</v>
      </c>
      <c r="O33" s="2" t="s">
        <v>88</v>
      </c>
      <c r="P33" s="6" t="s">
        <v>511</v>
      </c>
      <c r="Q33" s="7" t="s">
        <v>462</v>
      </c>
      <c r="R33" s="7"/>
      <c r="S33" s="7"/>
      <c r="T33" s="7"/>
      <c r="U33" s="8" t="s">
        <v>91</v>
      </c>
      <c r="V33" s="8" t="s">
        <v>192</v>
      </c>
      <c r="W33" s="2" t="s">
        <v>67</v>
      </c>
      <c r="X33" s="2" t="s">
        <v>512</v>
      </c>
      <c r="Y33" s="8" t="s">
        <v>94</v>
      </c>
      <c r="Z33" s="8" t="s">
        <v>283</v>
      </c>
      <c r="AA33" s="3" t="s">
        <v>513</v>
      </c>
      <c r="AB33" s="7" t="s">
        <v>285</v>
      </c>
      <c r="AC33" s="7"/>
      <c r="AD33" s="7"/>
      <c r="AE33" s="2" t="s">
        <v>514</v>
      </c>
      <c r="AF33" s="9">
        <v>502.0</v>
      </c>
      <c r="AG33" s="9"/>
      <c r="AH33" s="9"/>
      <c r="AI33" s="9"/>
      <c r="AJ33" s="9"/>
      <c r="AK33" s="9"/>
      <c r="AL33" s="2" t="s">
        <v>287</v>
      </c>
      <c r="AM33" s="5" t="s">
        <v>287</v>
      </c>
      <c r="AN33" s="9">
        <v>101.0</v>
      </c>
      <c r="AO33" s="9"/>
      <c r="AP33" s="9"/>
      <c r="AQ33" s="9"/>
      <c r="AR33" s="9"/>
      <c r="AS33" s="2" t="s">
        <v>74</v>
      </c>
      <c r="AT33" s="2" t="s">
        <v>515</v>
      </c>
      <c r="AU33" s="9">
        <v>401.0</v>
      </c>
      <c r="AV33" s="9">
        <v>301.0</v>
      </c>
      <c r="AW33" s="9"/>
      <c r="AX33" s="2" t="s">
        <v>516</v>
      </c>
      <c r="AY33" s="1" t="s">
        <v>258</v>
      </c>
      <c r="AZ33" s="1" t="s">
        <v>78</v>
      </c>
      <c r="BA33" s="2" t="s">
        <v>242</v>
      </c>
      <c r="BB33" s="2" t="s">
        <v>517</v>
      </c>
      <c r="BC33" s="1" t="s">
        <v>470</v>
      </c>
    </row>
    <row r="34" ht="15.75" customHeight="1">
      <c r="A34" s="2">
        <f t="shared" si="2"/>
        <v>33</v>
      </c>
      <c r="B34" s="2" t="s">
        <v>518</v>
      </c>
      <c r="C34" s="2" t="s">
        <v>83</v>
      </c>
      <c r="D34" s="2" t="s">
        <v>84</v>
      </c>
      <c r="E34" s="2" t="s">
        <v>519</v>
      </c>
      <c r="F34" s="2" t="s">
        <v>178</v>
      </c>
      <c r="G34" s="2" t="s">
        <v>57</v>
      </c>
      <c r="H34" s="2" t="s">
        <v>520</v>
      </c>
      <c r="I34" s="2" t="s">
        <v>59</v>
      </c>
      <c r="J34" s="2" t="s">
        <v>180</v>
      </c>
      <c r="K34" s="2" t="s">
        <v>60</v>
      </c>
      <c r="L34" s="2" t="s">
        <v>280</v>
      </c>
      <c r="M34" s="1" t="s">
        <v>61</v>
      </c>
      <c r="N34" s="2" t="str">
        <f t="shared" si="1"/>
        <v>Mujer Interior Frente Amplio FA oficialista_abierto</v>
      </c>
      <c r="O34" s="2" t="s">
        <v>88</v>
      </c>
      <c r="P34" s="6" t="s">
        <v>521</v>
      </c>
      <c r="Q34" s="7" t="s">
        <v>234</v>
      </c>
      <c r="R34" s="7" t="s">
        <v>64</v>
      </c>
      <c r="S34" s="7"/>
      <c r="T34" s="7"/>
      <c r="U34" s="8" t="s">
        <v>399</v>
      </c>
      <c r="V34" s="8" t="s">
        <v>522</v>
      </c>
      <c r="W34" s="2" t="s">
        <v>62</v>
      </c>
      <c r="X34" s="2" t="s">
        <v>523</v>
      </c>
      <c r="Y34" s="8" t="s">
        <v>266</v>
      </c>
      <c r="Z34" s="8" t="s">
        <v>314</v>
      </c>
      <c r="AA34" s="3" t="s">
        <v>523</v>
      </c>
      <c r="AB34" s="7" t="s">
        <v>270</v>
      </c>
      <c r="AC34" s="7"/>
      <c r="AD34" s="7"/>
      <c r="AE34" s="2" t="s">
        <v>524</v>
      </c>
      <c r="AF34" s="9">
        <v>401.0</v>
      </c>
      <c r="AG34" s="9"/>
      <c r="AH34" s="9"/>
      <c r="AI34" s="9"/>
      <c r="AJ34" s="9"/>
      <c r="AK34" s="9"/>
      <c r="AL34" s="2" t="s">
        <v>525</v>
      </c>
      <c r="AM34" s="5" t="s">
        <v>525</v>
      </c>
      <c r="AN34" s="9">
        <v>403.0</v>
      </c>
      <c r="AO34" s="9"/>
      <c r="AP34" s="9"/>
      <c r="AQ34" s="9"/>
      <c r="AR34" s="9"/>
      <c r="AS34" s="2" t="s">
        <v>139</v>
      </c>
      <c r="AT34" s="2" t="s">
        <v>526</v>
      </c>
      <c r="AU34" s="9">
        <v>302.0</v>
      </c>
      <c r="AV34" s="9">
        <v>301.0</v>
      </c>
      <c r="AW34" s="9"/>
      <c r="AX34" s="2" t="s">
        <v>527</v>
      </c>
      <c r="AY34" s="1" t="s">
        <v>258</v>
      </c>
      <c r="AZ34" s="1" t="s">
        <v>129</v>
      </c>
      <c r="BA34" s="2" t="s">
        <v>79</v>
      </c>
      <c r="BB34" s="2" t="s">
        <v>528</v>
      </c>
      <c r="BC34" s="1" t="s">
        <v>129</v>
      </c>
    </row>
    <row r="35" ht="15.75" customHeight="1">
      <c r="A35" s="2">
        <f t="shared" si="2"/>
        <v>34</v>
      </c>
      <c r="B35" s="2" t="s">
        <v>529</v>
      </c>
      <c r="C35" s="2" t="s">
        <v>83</v>
      </c>
      <c r="D35" s="2" t="s">
        <v>84</v>
      </c>
      <c r="E35" s="2" t="s">
        <v>530</v>
      </c>
      <c r="F35" s="2" t="s">
        <v>178</v>
      </c>
      <c r="G35" s="2" t="s">
        <v>422</v>
      </c>
      <c r="H35" s="2" t="s">
        <v>531</v>
      </c>
      <c r="I35" s="2" t="s">
        <v>246</v>
      </c>
      <c r="J35" s="2" t="s">
        <v>296</v>
      </c>
      <c r="K35" s="2" t="s">
        <v>149</v>
      </c>
      <c r="L35" s="2" t="s">
        <v>297</v>
      </c>
      <c r="M35" s="1" t="s">
        <v>61</v>
      </c>
      <c r="N35" s="2" t="str">
        <f t="shared" si="1"/>
        <v>Mujer Interior Coalición CM oposicion_abierta</v>
      </c>
      <c r="O35" s="2" t="s">
        <v>88</v>
      </c>
      <c r="P35" s="6" t="s">
        <v>532</v>
      </c>
      <c r="Q35" s="7" t="s">
        <v>64</v>
      </c>
      <c r="R35" s="7"/>
      <c r="S35" s="7"/>
      <c r="T35" s="7"/>
      <c r="U35" s="8" t="s">
        <v>533</v>
      </c>
      <c r="V35" s="8" t="s">
        <v>534</v>
      </c>
      <c r="W35" s="2" t="s">
        <v>67</v>
      </c>
      <c r="X35" s="2" t="s">
        <v>535</v>
      </c>
      <c r="Y35" s="8" t="s">
        <v>118</v>
      </c>
      <c r="Z35" s="8" t="s">
        <v>536</v>
      </c>
      <c r="AA35" s="3" t="s">
        <v>535</v>
      </c>
      <c r="AB35" s="7" t="s">
        <v>71</v>
      </c>
      <c r="AC35" s="7"/>
      <c r="AD35" s="7"/>
      <c r="AE35" s="2" t="s">
        <v>537</v>
      </c>
      <c r="AF35" s="9">
        <v>201.0</v>
      </c>
      <c r="AG35" s="9"/>
      <c r="AH35" s="9"/>
      <c r="AI35" s="9"/>
      <c r="AJ35" s="9"/>
      <c r="AK35" s="9"/>
      <c r="AL35" s="2" t="s">
        <v>538</v>
      </c>
      <c r="AM35" s="5" t="s">
        <v>538</v>
      </c>
      <c r="AN35" s="9">
        <v>101.0</v>
      </c>
      <c r="AO35" s="9"/>
      <c r="AP35" s="9"/>
      <c r="AQ35" s="9"/>
      <c r="AR35" s="9"/>
      <c r="AS35" s="2" t="s">
        <v>123</v>
      </c>
      <c r="AT35" s="2" t="s">
        <v>539</v>
      </c>
      <c r="AU35" s="9">
        <v>203.0</v>
      </c>
      <c r="AV35" s="9">
        <v>101.0</v>
      </c>
      <c r="AW35" s="9"/>
      <c r="AX35" s="2" t="s">
        <v>540</v>
      </c>
      <c r="AY35" s="1" t="s">
        <v>142</v>
      </c>
      <c r="AZ35" s="1" t="s">
        <v>344</v>
      </c>
      <c r="BA35" s="2" t="s">
        <v>228</v>
      </c>
      <c r="BB35" s="2" t="s">
        <v>541</v>
      </c>
      <c r="BC35" s="1" t="s">
        <v>129</v>
      </c>
    </row>
    <row r="36" ht="15.75" customHeight="1">
      <c r="A36" s="2">
        <f t="shared" si="2"/>
        <v>35</v>
      </c>
      <c r="B36" s="2" t="s">
        <v>542</v>
      </c>
      <c r="C36" s="2" t="s">
        <v>83</v>
      </c>
      <c r="D36" s="2" t="s">
        <v>84</v>
      </c>
      <c r="E36" s="2" t="s">
        <v>543</v>
      </c>
      <c r="F36" s="2" t="s">
        <v>544</v>
      </c>
      <c r="G36" s="2" t="s">
        <v>422</v>
      </c>
      <c r="H36" s="2" t="s">
        <v>545</v>
      </c>
      <c r="I36" s="2" t="s">
        <v>334</v>
      </c>
      <c r="J36" s="2" t="s">
        <v>296</v>
      </c>
      <c r="K36" s="2" t="s">
        <v>149</v>
      </c>
      <c r="L36" s="2" t="s">
        <v>475</v>
      </c>
      <c r="M36" s="1" t="s">
        <v>61</v>
      </c>
      <c r="N36" s="2" t="str">
        <f t="shared" si="1"/>
        <v>Mujer Interior Coalición CM oposicion_cerril</v>
      </c>
      <c r="O36" s="2" t="s">
        <v>62</v>
      </c>
      <c r="P36" s="6" t="s">
        <v>546</v>
      </c>
      <c r="Q36" s="7" t="s">
        <v>299</v>
      </c>
      <c r="R36" s="7" t="s">
        <v>64</v>
      </c>
      <c r="S36" s="7"/>
      <c r="T36" s="7"/>
      <c r="U36" s="8" t="s">
        <v>450</v>
      </c>
      <c r="V36" s="8" t="s">
        <v>547</v>
      </c>
      <c r="W36" s="2" t="s">
        <v>88</v>
      </c>
      <c r="X36" s="2" t="s">
        <v>548</v>
      </c>
      <c r="Y36" s="8" t="s">
        <v>194</v>
      </c>
      <c r="Z36" s="8" t="s">
        <v>212</v>
      </c>
      <c r="AA36" s="3" t="s">
        <v>548</v>
      </c>
      <c r="AB36" s="7" t="s">
        <v>285</v>
      </c>
      <c r="AC36" s="7" t="s">
        <v>214</v>
      </c>
      <c r="AD36" s="7"/>
      <c r="AE36" s="2" t="s">
        <v>549</v>
      </c>
      <c r="AF36" s="9">
        <v>204.0</v>
      </c>
      <c r="AG36" s="9">
        <v>301.0</v>
      </c>
      <c r="AH36" s="9">
        <v>102.0</v>
      </c>
      <c r="AI36" s="9">
        <v>203.0</v>
      </c>
      <c r="AJ36" s="9"/>
      <c r="AK36" s="9"/>
      <c r="AL36" s="2" t="s">
        <v>550</v>
      </c>
      <c r="AM36" s="5" t="s">
        <v>551</v>
      </c>
      <c r="AN36" s="9">
        <v>101.0</v>
      </c>
      <c r="AO36" s="9">
        <v>103.0</v>
      </c>
      <c r="AP36" s="9">
        <v>202.0</v>
      </c>
      <c r="AQ36" s="9">
        <v>206.0</v>
      </c>
      <c r="AR36" s="9"/>
      <c r="AS36" s="2" t="s">
        <v>74</v>
      </c>
      <c r="AT36" s="2" t="s">
        <v>552</v>
      </c>
      <c r="AU36" s="9">
        <v>301.0</v>
      </c>
      <c r="AV36" s="9"/>
      <c r="AW36" s="9"/>
      <c r="AX36" s="2" t="s">
        <v>553</v>
      </c>
      <c r="AY36" s="1" t="s">
        <v>258</v>
      </c>
      <c r="AZ36" s="1" t="s">
        <v>129</v>
      </c>
      <c r="BA36" s="2" t="s">
        <v>242</v>
      </c>
      <c r="BB36" s="2" t="s">
        <v>554</v>
      </c>
      <c r="BC36" s="1" t="s">
        <v>291</v>
      </c>
    </row>
    <row r="37" ht="15.75" customHeight="1">
      <c r="A37" s="2">
        <f t="shared" si="2"/>
        <v>36</v>
      </c>
      <c r="B37" s="2" t="s">
        <v>555</v>
      </c>
      <c r="C37" s="2" t="s">
        <v>83</v>
      </c>
      <c r="D37" s="2" t="s">
        <v>84</v>
      </c>
      <c r="E37" s="2" t="s">
        <v>556</v>
      </c>
      <c r="F37" s="2" t="s">
        <v>178</v>
      </c>
      <c r="G37" s="2" t="s">
        <v>111</v>
      </c>
      <c r="H37" s="2" t="s">
        <v>112</v>
      </c>
      <c r="I37" s="2" t="s">
        <v>246</v>
      </c>
      <c r="J37" s="2" t="s">
        <v>296</v>
      </c>
      <c r="K37" s="2" t="s">
        <v>149</v>
      </c>
      <c r="L37" s="2" t="s">
        <v>475</v>
      </c>
      <c r="M37" s="1" t="s">
        <v>61</v>
      </c>
      <c r="N37" s="2" t="str">
        <f t="shared" si="1"/>
        <v>Mujer Interior Coalición CM oposicion_cerril</v>
      </c>
      <c r="O37" s="2" t="s">
        <v>62</v>
      </c>
      <c r="P37" s="6" t="s">
        <v>557</v>
      </c>
      <c r="Q37" s="7" t="s">
        <v>558</v>
      </c>
      <c r="R37" s="7" t="s">
        <v>462</v>
      </c>
      <c r="S37" s="7" t="s">
        <v>559</v>
      </c>
      <c r="T37" s="7"/>
      <c r="U37" s="8" t="s">
        <v>248</v>
      </c>
      <c r="V37" s="8" t="s">
        <v>560</v>
      </c>
      <c r="W37" s="2" t="s">
        <v>67</v>
      </c>
      <c r="X37" s="2" t="s">
        <v>561</v>
      </c>
      <c r="Y37" s="8" t="s">
        <v>94</v>
      </c>
      <c r="Z37" s="8" t="s">
        <v>154</v>
      </c>
      <c r="AA37" s="3" t="s">
        <v>562</v>
      </c>
      <c r="AB37" s="7" t="s">
        <v>155</v>
      </c>
      <c r="AC37" s="7" t="s">
        <v>285</v>
      </c>
      <c r="AD37" s="7"/>
      <c r="AE37" s="2" t="s">
        <v>563</v>
      </c>
      <c r="AF37" s="9">
        <v>404.0</v>
      </c>
      <c r="AG37" s="9"/>
      <c r="AH37" s="9"/>
      <c r="AI37" s="9"/>
      <c r="AJ37" s="9"/>
      <c r="AK37" s="9"/>
      <c r="AL37" s="2" t="s">
        <v>564</v>
      </c>
      <c r="AM37" s="5" t="s">
        <v>565</v>
      </c>
      <c r="AN37" s="9">
        <v>103.0</v>
      </c>
      <c r="AO37" s="9">
        <v>101.0</v>
      </c>
      <c r="AP37" s="9">
        <v>203.0</v>
      </c>
      <c r="AQ37" s="9">
        <v>201.0</v>
      </c>
      <c r="AR37" s="9">
        <v>301.0</v>
      </c>
      <c r="AS37" s="2" t="s">
        <v>123</v>
      </c>
      <c r="AT37" s="2" t="s">
        <v>566</v>
      </c>
      <c r="AU37" s="9">
        <v>301.0</v>
      </c>
      <c r="AV37" s="9">
        <v>401.0</v>
      </c>
      <c r="AW37" s="9"/>
      <c r="AX37" s="2" t="s">
        <v>567</v>
      </c>
      <c r="AY37" s="1" t="s">
        <v>258</v>
      </c>
      <c r="AZ37" s="1" t="s">
        <v>187</v>
      </c>
      <c r="BA37" s="2" t="s">
        <v>79</v>
      </c>
      <c r="BB37" s="2" t="s">
        <v>568</v>
      </c>
      <c r="BC37" s="1" t="s">
        <v>470</v>
      </c>
    </row>
    <row r="38" ht="15.75" customHeight="1">
      <c r="A38" s="2">
        <f t="shared" si="2"/>
        <v>37</v>
      </c>
      <c r="B38" s="2" t="s">
        <v>569</v>
      </c>
      <c r="C38" s="2" t="s">
        <v>83</v>
      </c>
      <c r="D38" s="2" t="s">
        <v>84</v>
      </c>
      <c r="E38" s="2" t="s">
        <v>570</v>
      </c>
      <c r="F38" s="2" t="s">
        <v>278</v>
      </c>
      <c r="G38" s="2" t="s">
        <v>86</v>
      </c>
      <c r="H38" s="2" t="s">
        <v>112</v>
      </c>
      <c r="I38" s="2" t="s">
        <v>59</v>
      </c>
      <c r="J38" s="2" t="s">
        <v>278</v>
      </c>
      <c r="K38" s="2" t="s">
        <v>60</v>
      </c>
      <c r="L38" s="2" t="s">
        <v>280</v>
      </c>
      <c r="M38" s="1" t="s">
        <v>61</v>
      </c>
      <c r="N38" s="2" t="str">
        <f t="shared" si="1"/>
        <v>Mujer Montevideo FA oficialista_abierto</v>
      </c>
      <c r="O38" s="2" t="s">
        <v>88</v>
      </c>
      <c r="P38" s="6" t="s">
        <v>571</v>
      </c>
      <c r="Q38" s="7" t="s">
        <v>64</v>
      </c>
      <c r="R38" s="7" t="s">
        <v>134</v>
      </c>
      <c r="S38" s="7" t="s">
        <v>133</v>
      </c>
      <c r="T38" s="7"/>
      <c r="U38" s="8" t="s">
        <v>91</v>
      </c>
      <c r="V38" s="8" t="s">
        <v>572</v>
      </c>
      <c r="W38" s="2" t="s">
        <v>67</v>
      </c>
      <c r="X38" s="2" t="s">
        <v>573</v>
      </c>
      <c r="Y38" s="8" t="s">
        <v>94</v>
      </c>
      <c r="Z38" s="8" t="s">
        <v>283</v>
      </c>
      <c r="AA38" s="3" t="s">
        <v>574</v>
      </c>
      <c r="AB38" s="7" t="s">
        <v>285</v>
      </c>
      <c r="AC38" s="7" t="s">
        <v>98</v>
      </c>
      <c r="AD38" s="7"/>
      <c r="AE38" s="2" t="s">
        <v>575</v>
      </c>
      <c r="AF38" s="9">
        <v>301.0</v>
      </c>
      <c r="AG38" s="9"/>
      <c r="AH38" s="9"/>
      <c r="AI38" s="9"/>
      <c r="AJ38" s="9"/>
      <c r="AK38" s="9"/>
      <c r="AL38" s="2" t="s">
        <v>576</v>
      </c>
      <c r="AM38" s="5" t="s">
        <v>576</v>
      </c>
      <c r="AN38" s="9">
        <v>403.0</v>
      </c>
      <c r="AO38" s="9"/>
      <c r="AP38" s="9"/>
      <c r="AQ38" s="9"/>
      <c r="AR38" s="9"/>
      <c r="AS38" s="2" t="s">
        <v>123</v>
      </c>
      <c r="AT38" s="2" t="s">
        <v>577</v>
      </c>
      <c r="AU38" s="9">
        <v>201.0</v>
      </c>
      <c r="AV38" s="9"/>
      <c r="AW38" s="9"/>
      <c r="AX38" s="2" t="s">
        <v>578</v>
      </c>
      <c r="AY38" s="1" t="s">
        <v>105</v>
      </c>
      <c r="AZ38" s="1" t="s">
        <v>187</v>
      </c>
      <c r="BA38" s="2" t="s">
        <v>79</v>
      </c>
      <c r="BB38" s="2" t="s">
        <v>579</v>
      </c>
      <c r="BC38" s="1" t="s">
        <v>107</v>
      </c>
    </row>
    <row r="39" ht="15.75" customHeight="1">
      <c r="A39" s="2">
        <f t="shared" si="2"/>
        <v>38</v>
      </c>
      <c r="B39" s="2" t="s">
        <v>580</v>
      </c>
      <c r="C39" s="2" t="s">
        <v>83</v>
      </c>
      <c r="D39" s="2" t="s">
        <v>84</v>
      </c>
      <c r="E39" s="2" t="s">
        <v>581</v>
      </c>
      <c r="F39" s="2" t="s">
        <v>582</v>
      </c>
      <c r="G39" s="2" t="s">
        <v>232</v>
      </c>
      <c r="H39" s="2" t="s">
        <v>583</v>
      </c>
      <c r="I39" s="2" t="s">
        <v>59</v>
      </c>
      <c r="J39" s="2" t="s">
        <v>180</v>
      </c>
      <c r="K39" s="2" t="s">
        <v>60</v>
      </c>
      <c r="L39" s="2" t="s">
        <v>311</v>
      </c>
      <c r="M39" s="1" t="s">
        <v>61</v>
      </c>
      <c r="N39" s="2" t="str">
        <f t="shared" si="1"/>
        <v>Mujer Interior Frente Amplio FA oficialista_acerrimo</v>
      </c>
      <c r="O39" s="2" t="s">
        <v>67</v>
      </c>
      <c r="P39" s="6" t="s">
        <v>584</v>
      </c>
      <c r="Q39" s="7" t="s">
        <v>263</v>
      </c>
      <c r="R39" s="7"/>
      <c r="S39" s="7"/>
      <c r="T39" s="7"/>
      <c r="U39" s="8" t="s">
        <v>151</v>
      </c>
      <c r="V39" s="8" t="s">
        <v>438</v>
      </c>
      <c r="W39" s="2" t="s">
        <v>62</v>
      </c>
      <c r="X39" s="2" t="s">
        <v>585</v>
      </c>
      <c r="Y39" s="8" t="s">
        <v>194</v>
      </c>
      <c r="Z39" s="8" t="s">
        <v>195</v>
      </c>
      <c r="AA39" s="3" t="s">
        <v>585</v>
      </c>
      <c r="AB39" s="7" t="s">
        <v>97</v>
      </c>
      <c r="AC39" s="7"/>
      <c r="AD39" s="7"/>
      <c r="AE39" s="2" t="s">
        <v>586</v>
      </c>
      <c r="AF39" s="9">
        <v>302.0</v>
      </c>
      <c r="AG39" s="9"/>
      <c r="AH39" s="9"/>
      <c r="AI39" s="9"/>
      <c r="AJ39" s="9"/>
      <c r="AK39" s="9"/>
      <c r="AL39" s="2" t="s">
        <v>139</v>
      </c>
      <c r="AM39" s="5" t="s">
        <v>139</v>
      </c>
      <c r="AN39" s="9">
        <v>403.0</v>
      </c>
      <c r="AO39" s="9"/>
      <c r="AP39" s="9"/>
      <c r="AQ39" s="9"/>
      <c r="AR39" s="9"/>
      <c r="AS39" s="2" t="s">
        <v>123</v>
      </c>
      <c r="AT39" s="2" t="s">
        <v>587</v>
      </c>
      <c r="AU39" s="9">
        <v>201.0</v>
      </c>
      <c r="AV39" s="9"/>
      <c r="AW39" s="9"/>
      <c r="AX39" s="2" t="s">
        <v>588</v>
      </c>
      <c r="AY39" s="1" t="s">
        <v>142</v>
      </c>
      <c r="AZ39" s="1" t="s">
        <v>159</v>
      </c>
      <c r="BA39" s="2" t="s">
        <v>174</v>
      </c>
      <c r="BB39" s="2" t="s">
        <v>589</v>
      </c>
      <c r="BC39" s="1" t="s">
        <v>107</v>
      </c>
    </row>
    <row r="40" ht="15.75" customHeight="1">
      <c r="A40" s="2">
        <f t="shared" si="2"/>
        <v>39</v>
      </c>
      <c r="B40" s="2" t="s">
        <v>590</v>
      </c>
      <c r="C40" s="2" t="s">
        <v>83</v>
      </c>
      <c r="D40" s="2" t="s">
        <v>84</v>
      </c>
      <c r="E40" s="2" t="s">
        <v>591</v>
      </c>
      <c r="F40" s="2" t="s">
        <v>278</v>
      </c>
      <c r="G40" s="2" t="s">
        <v>57</v>
      </c>
      <c r="H40" s="2" t="s">
        <v>592</v>
      </c>
      <c r="I40" s="2" t="s">
        <v>246</v>
      </c>
      <c r="J40" s="2" t="s">
        <v>278</v>
      </c>
      <c r="K40" s="2" t="s">
        <v>149</v>
      </c>
      <c r="L40" s="2" t="s">
        <v>475</v>
      </c>
      <c r="M40" s="1" t="s">
        <v>61</v>
      </c>
      <c r="N40" s="2" t="str">
        <f t="shared" si="1"/>
        <v>Mujer Montevideo CM oposicion_cerril</v>
      </c>
      <c r="O40" s="2" t="s">
        <v>62</v>
      </c>
      <c r="P40" s="6" t="s">
        <v>593</v>
      </c>
      <c r="Q40" s="7" t="s">
        <v>208</v>
      </c>
      <c r="R40" s="7" t="s">
        <v>234</v>
      </c>
      <c r="S40" s="7"/>
      <c r="T40" s="7"/>
      <c r="U40" s="8" t="s">
        <v>115</v>
      </c>
      <c r="V40" s="8" t="s">
        <v>209</v>
      </c>
      <c r="W40" s="2" t="s">
        <v>67</v>
      </c>
      <c r="X40" s="2" t="s">
        <v>594</v>
      </c>
      <c r="Y40" s="8" t="s">
        <v>94</v>
      </c>
      <c r="Z40" s="8" t="s">
        <v>283</v>
      </c>
      <c r="AA40" s="3" t="s">
        <v>595</v>
      </c>
      <c r="AB40" s="7" t="s">
        <v>71</v>
      </c>
      <c r="AC40" s="7" t="s">
        <v>285</v>
      </c>
      <c r="AD40" s="7"/>
      <c r="AE40" s="2" t="s">
        <v>596</v>
      </c>
      <c r="AF40" s="9">
        <v>204.0</v>
      </c>
      <c r="AG40" s="9">
        <v>101.0</v>
      </c>
      <c r="AH40" s="9">
        <v>403.0</v>
      </c>
      <c r="AI40" s="9"/>
      <c r="AJ40" s="9"/>
      <c r="AK40" s="9"/>
      <c r="AL40" s="2" t="s">
        <v>597</v>
      </c>
      <c r="AM40" s="5" t="s">
        <v>597</v>
      </c>
      <c r="AN40" s="9">
        <v>101.0</v>
      </c>
      <c r="AO40" s="9"/>
      <c r="AP40" s="9"/>
      <c r="AQ40" s="9"/>
      <c r="AR40" s="9"/>
      <c r="AS40" s="2" t="s">
        <v>123</v>
      </c>
      <c r="AT40" s="2" t="s">
        <v>598</v>
      </c>
      <c r="AU40" s="9">
        <v>201.0</v>
      </c>
      <c r="AV40" s="9">
        <v>301.0</v>
      </c>
      <c r="AW40" s="9"/>
      <c r="AX40" s="2" t="s">
        <v>599</v>
      </c>
      <c r="AY40" s="1" t="s">
        <v>258</v>
      </c>
      <c r="AZ40" s="1" t="s">
        <v>129</v>
      </c>
      <c r="BA40" s="2" t="s">
        <v>174</v>
      </c>
      <c r="BB40" s="2" t="s">
        <v>600</v>
      </c>
      <c r="BC40" s="1" t="s">
        <v>144</v>
      </c>
    </row>
    <row r="41" ht="15.75" customHeight="1">
      <c r="A41" s="2">
        <f t="shared" si="2"/>
        <v>40</v>
      </c>
      <c r="B41" s="2" t="s">
        <v>601</v>
      </c>
      <c r="C41" s="2" t="s">
        <v>83</v>
      </c>
      <c r="D41" s="2" t="s">
        <v>54</v>
      </c>
      <c r="E41" s="2" t="s">
        <v>602</v>
      </c>
      <c r="F41" s="2" t="s">
        <v>603</v>
      </c>
      <c r="G41" s="2" t="s">
        <v>232</v>
      </c>
      <c r="H41" s="2" t="s">
        <v>604</v>
      </c>
      <c r="I41" s="2" t="s">
        <v>59</v>
      </c>
      <c r="J41" s="2" t="s">
        <v>180</v>
      </c>
      <c r="K41" s="2" t="s">
        <v>60</v>
      </c>
      <c r="L41" s="2" t="s">
        <v>311</v>
      </c>
      <c r="M41" s="1" t="s">
        <v>61</v>
      </c>
      <c r="N41" s="2" t="str">
        <f t="shared" si="1"/>
        <v>Hombre Interior Frente Amplio FA oficialista_acerrimo</v>
      </c>
      <c r="O41" s="2" t="s">
        <v>67</v>
      </c>
      <c r="P41" s="6" t="s">
        <v>605</v>
      </c>
      <c r="Q41" s="7" t="s">
        <v>165</v>
      </c>
      <c r="R41" s="7" t="s">
        <v>114</v>
      </c>
      <c r="S41" s="7"/>
      <c r="T41" s="7"/>
      <c r="U41" s="8" t="s">
        <v>399</v>
      </c>
      <c r="V41" s="8" t="s">
        <v>606</v>
      </c>
      <c r="W41" s="2" t="s">
        <v>62</v>
      </c>
      <c r="X41" s="2" t="s">
        <v>607</v>
      </c>
      <c r="Y41" s="8" t="s">
        <v>118</v>
      </c>
      <c r="Z41" s="8" t="s">
        <v>440</v>
      </c>
      <c r="AA41" s="3" t="s">
        <v>607</v>
      </c>
      <c r="AB41" s="7" t="s">
        <v>97</v>
      </c>
      <c r="AC41" s="7"/>
      <c r="AD41" s="7"/>
      <c r="AE41" s="2" t="s">
        <v>608</v>
      </c>
      <c r="AF41" s="9">
        <v>201.0</v>
      </c>
      <c r="AG41" s="9">
        <v>101.0</v>
      </c>
      <c r="AH41" s="9"/>
      <c r="AI41" s="9"/>
      <c r="AJ41" s="9"/>
      <c r="AK41" s="9"/>
      <c r="AL41" s="2" t="s">
        <v>609</v>
      </c>
      <c r="AM41" s="5" t="s">
        <v>609</v>
      </c>
      <c r="AN41" s="9">
        <v>401.0</v>
      </c>
      <c r="AO41" s="9"/>
      <c r="AP41" s="9"/>
      <c r="AQ41" s="9"/>
      <c r="AR41" s="9"/>
      <c r="AS41" s="2" t="s">
        <v>123</v>
      </c>
      <c r="AT41" s="2" t="s">
        <v>610</v>
      </c>
      <c r="AU41" s="9">
        <v>202.0</v>
      </c>
      <c r="AV41" s="9"/>
      <c r="AW41" s="9"/>
      <c r="AX41" s="2" t="s">
        <v>611</v>
      </c>
      <c r="AY41" s="1" t="s">
        <v>77</v>
      </c>
      <c r="AZ41" s="1" t="s">
        <v>127</v>
      </c>
      <c r="BA41" s="2" t="s">
        <v>242</v>
      </c>
      <c r="BB41" s="2" t="s">
        <v>612</v>
      </c>
      <c r="BC41" s="1" t="s">
        <v>291</v>
      </c>
    </row>
    <row r="42" ht="15.75" customHeight="1">
      <c r="A42" s="2">
        <f t="shared" si="2"/>
        <v>41</v>
      </c>
      <c r="B42" s="2" t="s">
        <v>613</v>
      </c>
      <c r="C42" s="2" t="s">
        <v>83</v>
      </c>
      <c r="D42" s="2" t="s">
        <v>84</v>
      </c>
      <c r="E42" s="2" t="s">
        <v>614</v>
      </c>
      <c r="F42" s="2" t="s">
        <v>178</v>
      </c>
      <c r="G42" s="2" t="s">
        <v>86</v>
      </c>
      <c r="H42" s="2" t="s">
        <v>615</v>
      </c>
      <c r="I42" s="2" t="s">
        <v>59</v>
      </c>
      <c r="J42" s="2" t="s">
        <v>180</v>
      </c>
      <c r="K42" s="2" t="s">
        <v>60</v>
      </c>
      <c r="L42" s="2" t="s">
        <v>311</v>
      </c>
      <c r="M42" s="1" t="s">
        <v>61</v>
      </c>
      <c r="N42" s="2" t="str">
        <f t="shared" si="1"/>
        <v>Mujer Interior Frente Amplio FA oficialista_acerrimo</v>
      </c>
      <c r="O42" s="2" t="s">
        <v>88</v>
      </c>
      <c r="P42" s="6" t="s">
        <v>616</v>
      </c>
      <c r="Q42" s="7" t="s">
        <v>64</v>
      </c>
      <c r="R42" s="7"/>
      <c r="S42" s="7"/>
      <c r="T42" s="7"/>
      <c r="U42" s="8" t="s">
        <v>135</v>
      </c>
      <c r="V42" s="8" t="s">
        <v>136</v>
      </c>
      <c r="W42" s="2" t="s">
        <v>62</v>
      </c>
      <c r="X42" s="2" t="s">
        <v>617</v>
      </c>
      <c r="Y42" s="8" t="s">
        <v>266</v>
      </c>
      <c r="Z42" s="8" t="s">
        <v>267</v>
      </c>
      <c r="AA42" s="3" t="s">
        <v>618</v>
      </c>
      <c r="AB42" s="7" t="s">
        <v>270</v>
      </c>
      <c r="AC42" s="7"/>
      <c r="AD42" s="7"/>
      <c r="AE42" s="2" t="s">
        <v>619</v>
      </c>
      <c r="AF42" s="9">
        <v>201.0</v>
      </c>
      <c r="AG42" s="9">
        <v>101.0</v>
      </c>
      <c r="AH42" s="9">
        <v>301.0</v>
      </c>
      <c r="AI42" s="9">
        <v>103.0</v>
      </c>
      <c r="AJ42" s="9"/>
      <c r="AK42" s="9"/>
      <c r="AL42" s="2" t="s">
        <v>620</v>
      </c>
      <c r="AM42" s="5" t="s">
        <v>620</v>
      </c>
      <c r="AN42" s="9">
        <v>202.0</v>
      </c>
      <c r="AO42" s="9">
        <v>101.0</v>
      </c>
      <c r="AP42" s="9">
        <v>102.0</v>
      </c>
      <c r="AQ42" s="9"/>
      <c r="AR42" s="9"/>
      <c r="AS42" s="2" t="s">
        <v>123</v>
      </c>
      <c r="AT42" s="2" t="s">
        <v>621</v>
      </c>
      <c r="AU42" s="9">
        <v>202.0</v>
      </c>
      <c r="AV42" s="9"/>
      <c r="AW42" s="9"/>
      <c r="AX42" s="2" t="s">
        <v>622</v>
      </c>
      <c r="AY42" s="1" t="s">
        <v>258</v>
      </c>
      <c r="AZ42" s="1" t="s">
        <v>159</v>
      </c>
      <c r="BA42" s="2" t="s">
        <v>174</v>
      </c>
      <c r="BB42" s="2" t="s">
        <v>623</v>
      </c>
      <c r="BC42" s="1" t="s">
        <v>161</v>
      </c>
    </row>
    <row r="43" ht="15.75" customHeight="1">
      <c r="A43" s="2">
        <f t="shared" si="2"/>
        <v>42</v>
      </c>
      <c r="B43" s="2" t="s">
        <v>624</v>
      </c>
      <c r="C43" s="2" t="s">
        <v>109</v>
      </c>
      <c r="D43" s="2" t="s">
        <v>54</v>
      </c>
      <c r="E43" s="2" t="s">
        <v>625</v>
      </c>
      <c r="F43" s="2" t="s">
        <v>278</v>
      </c>
      <c r="G43" s="2" t="s">
        <v>111</v>
      </c>
      <c r="H43" s="2" t="s">
        <v>626</v>
      </c>
      <c r="I43" s="2" t="s">
        <v>627</v>
      </c>
      <c r="J43" s="2" t="s">
        <v>278</v>
      </c>
      <c r="K43" s="2" t="s">
        <v>149</v>
      </c>
      <c r="L43" s="2" t="s">
        <v>628</v>
      </c>
      <c r="M43" s="1" t="s">
        <v>61</v>
      </c>
      <c r="N43" s="2" t="str">
        <f t="shared" si="1"/>
        <v>Hombre Montevideo CM descreidas/alejadas</v>
      </c>
      <c r="O43" s="2" t="s">
        <v>62</v>
      </c>
      <c r="P43" s="6" t="s">
        <v>629</v>
      </c>
      <c r="Q43" s="7" t="s">
        <v>558</v>
      </c>
      <c r="R43" s="7" t="s">
        <v>462</v>
      </c>
      <c r="S43" s="7" t="s">
        <v>208</v>
      </c>
      <c r="T43" s="7"/>
      <c r="U43" s="8" t="s">
        <v>450</v>
      </c>
      <c r="V43" s="8" t="s">
        <v>547</v>
      </c>
      <c r="W43" s="2" t="s">
        <v>62</v>
      </c>
      <c r="X43" s="2" t="s">
        <v>630</v>
      </c>
      <c r="Y43" s="8" t="s">
        <v>194</v>
      </c>
      <c r="Z43" s="8" t="s">
        <v>212</v>
      </c>
      <c r="AA43" s="3" t="s">
        <v>631</v>
      </c>
      <c r="AB43" s="7" t="s">
        <v>214</v>
      </c>
      <c r="AC43" s="7" t="s">
        <v>97</v>
      </c>
      <c r="AD43" s="7" t="s">
        <v>270</v>
      </c>
      <c r="AE43" s="2" t="s">
        <v>632</v>
      </c>
      <c r="AF43" s="9">
        <v>103.0</v>
      </c>
      <c r="AG43" s="9">
        <v>104.0</v>
      </c>
      <c r="AH43" s="9">
        <v>301.0</v>
      </c>
      <c r="AI43" s="9"/>
      <c r="AJ43" s="9"/>
      <c r="AK43" s="9"/>
      <c r="AL43" s="2" t="s">
        <v>633</v>
      </c>
      <c r="AM43" s="5" t="s">
        <v>634</v>
      </c>
      <c r="AN43" s="9">
        <v>401.0</v>
      </c>
      <c r="AO43" s="9"/>
      <c r="AP43" s="9"/>
      <c r="AQ43" s="9"/>
      <c r="AR43" s="9"/>
      <c r="AS43" s="2" t="s">
        <v>139</v>
      </c>
      <c r="AT43" s="2" t="s">
        <v>635</v>
      </c>
      <c r="AU43" s="9">
        <v>101.0</v>
      </c>
      <c r="AV43" s="9"/>
      <c r="AW43" s="9"/>
      <c r="AX43" s="2" t="s">
        <v>636</v>
      </c>
      <c r="AY43" s="1" t="s">
        <v>258</v>
      </c>
      <c r="AZ43" s="1" t="s">
        <v>129</v>
      </c>
      <c r="BA43" s="2" t="s">
        <v>174</v>
      </c>
      <c r="BB43" s="2" t="s">
        <v>637</v>
      </c>
      <c r="BC43" s="1" t="s">
        <v>81</v>
      </c>
    </row>
    <row r="44" ht="15.75" customHeight="1">
      <c r="A44" s="2">
        <f t="shared" si="2"/>
        <v>43</v>
      </c>
      <c r="B44" s="2" t="s">
        <v>638</v>
      </c>
      <c r="C44" s="2" t="s">
        <v>53</v>
      </c>
      <c r="D44" s="2" t="s">
        <v>84</v>
      </c>
      <c r="E44" s="2" t="s">
        <v>639</v>
      </c>
      <c r="F44" s="2" t="s">
        <v>278</v>
      </c>
      <c r="G44" s="2" t="s">
        <v>57</v>
      </c>
      <c r="H44" s="2" t="s">
        <v>640</v>
      </c>
      <c r="I44" s="2" t="s">
        <v>59</v>
      </c>
      <c r="J44" s="2" t="s">
        <v>278</v>
      </c>
      <c r="K44" s="2" t="s">
        <v>60</v>
      </c>
      <c r="L44" s="2" t="s">
        <v>374</v>
      </c>
      <c r="M44" s="1" t="s">
        <v>61</v>
      </c>
      <c r="N44" s="2" t="str">
        <f t="shared" si="1"/>
        <v>Mujer Montevideo FA desinformadas</v>
      </c>
      <c r="O44" s="2" t="s">
        <v>88</v>
      </c>
      <c r="P44" s="6" t="s">
        <v>641</v>
      </c>
      <c r="Q44" s="7" t="s">
        <v>336</v>
      </c>
      <c r="R44" s="7"/>
      <c r="S44" s="7"/>
      <c r="T44" s="7"/>
      <c r="U44" s="8" t="s">
        <v>337</v>
      </c>
      <c r="V44" s="8" t="s">
        <v>338</v>
      </c>
      <c r="W44" s="2" t="s">
        <v>88</v>
      </c>
      <c r="X44" s="2" t="s">
        <v>642</v>
      </c>
      <c r="Y44" s="8" t="s">
        <v>118</v>
      </c>
      <c r="Z44" s="8" t="s">
        <v>119</v>
      </c>
      <c r="AA44" s="3" t="s">
        <v>642</v>
      </c>
      <c r="AB44" s="7" t="s">
        <v>120</v>
      </c>
      <c r="AC44" s="7"/>
      <c r="AD44" s="7"/>
      <c r="AE44" s="2" t="s">
        <v>341</v>
      </c>
      <c r="AF44" s="9">
        <v>503.0</v>
      </c>
      <c r="AG44" s="9"/>
      <c r="AH44" s="9"/>
      <c r="AI44" s="9"/>
      <c r="AJ44" s="9"/>
      <c r="AK44" s="9"/>
      <c r="AL44" s="2" t="s">
        <v>643</v>
      </c>
      <c r="AM44" s="5" t="s">
        <v>643</v>
      </c>
      <c r="AN44" s="9">
        <v>403.0</v>
      </c>
      <c r="AO44" s="9"/>
      <c r="AP44" s="9"/>
      <c r="AQ44" s="9"/>
      <c r="AR44" s="9"/>
      <c r="AS44" s="2" t="s">
        <v>102</v>
      </c>
      <c r="AT44" s="2" t="s">
        <v>644</v>
      </c>
      <c r="AU44" s="9">
        <v>402.0</v>
      </c>
      <c r="AV44" s="9"/>
      <c r="AW44" s="9"/>
      <c r="AX44" s="2" t="s">
        <v>645</v>
      </c>
      <c r="AY44" s="1" t="s">
        <v>646</v>
      </c>
      <c r="AZ44" s="1" t="s">
        <v>127</v>
      </c>
      <c r="BA44" s="2" t="s">
        <v>242</v>
      </c>
      <c r="BB44" s="2" t="s">
        <v>647</v>
      </c>
      <c r="BC44" s="1" t="s">
        <v>129</v>
      </c>
    </row>
    <row r="45" ht="15.75" customHeight="1">
      <c r="A45" s="2">
        <f t="shared" si="2"/>
        <v>44</v>
      </c>
      <c r="B45" s="2" t="s">
        <v>648</v>
      </c>
      <c r="C45" s="2" t="s">
        <v>83</v>
      </c>
      <c r="D45" s="2" t="s">
        <v>84</v>
      </c>
      <c r="E45" s="2" t="s">
        <v>649</v>
      </c>
      <c r="F45" s="2" t="s">
        <v>178</v>
      </c>
      <c r="G45" s="2" t="s">
        <v>111</v>
      </c>
      <c r="H45" s="2" t="s">
        <v>650</v>
      </c>
      <c r="I45" s="2" t="s">
        <v>246</v>
      </c>
      <c r="J45" s="2" t="s">
        <v>296</v>
      </c>
      <c r="K45" s="2" t="s">
        <v>149</v>
      </c>
      <c r="L45" s="2" t="s">
        <v>409</v>
      </c>
      <c r="M45" s="1" t="s">
        <v>61</v>
      </c>
      <c r="N45" s="2" t="str">
        <f t="shared" si="1"/>
        <v>Mujer Interior Coalición CM dialoguista</v>
      </c>
      <c r="O45" s="2" t="s">
        <v>88</v>
      </c>
      <c r="P45" s="6" t="s">
        <v>651</v>
      </c>
      <c r="Q45" s="7" t="s">
        <v>208</v>
      </c>
      <c r="R45" s="7"/>
      <c r="S45" s="7"/>
      <c r="T45" s="7"/>
      <c r="U45" s="8" t="s">
        <v>115</v>
      </c>
      <c r="V45" s="8" t="s">
        <v>209</v>
      </c>
      <c r="W45" s="2" t="s">
        <v>67</v>
      </c>
      <c r="X45" s="2" t="s">
        <v>652</v>
      </c>
      <c r="Y45" s="8" t="s">
        <v>118</v>
      </c>
      <c r="Z45" s="8" t="s">
        <v>536</v>
      </c>
      <c r="AA45" s="3" t="s">
        <v>652</v>
      </c>
      <c r="AB45" s="7" t="s">
        <v>71</v>
      </c>
      <c r="AC45" s="7"/>
      <c r="AD45" s="7"/>
      <c r="AE45" s="2" t="s">
        <v>653</v>
      </c>
      <c r="AF45" s="9">
        <v>201.0</v>
      </c>
      <c r="AG45" s="9">
        <v>101.0</v>
      </c>
      <c r="AH45" s="9">
        <v>303.0</v>
      </c>
      <c r="AI45" s="9"/>
      <c r="AJ45" s="9"/>
      <c r="AK45" s="9"/>
      <c r="AL45" s="2" t="s">
        <v>654</v>
      </c>
      <c r="AM45" s="5" t="s">
        <v>654</v>
      </c>
      <c r="AN45" s="9">
        <v>100.0</v>
      </c>
      <c r="AO45" s="9"/>
      <c r="AP45" s="9"/>
      <c r="AQ45" s="9"/>
      <c r="AR45" s="9"/>
      <c r="AS45" s="2" t="s">
        <v>123</v>
      </c>
      <c r="AT45" s="2" t="s">
        <v>655</v>
      </c>
      <c r="AU45" s="9">
        <v>401.0</v>
      </c>
      <c r="AV45" s="9">
        <v>201.0</v>
      </c>
      <c r="AW45" s="9"/>
      <c r="AX45" s="2" t="s">
        <v>656</v>
      </c>
      <c r="AY45" s="1" t="s">
        <v>142</v>
      </c>
      <c r="AZ45" s="1" t="s">
        <v>159</v>
      </c>
      <c r="BA45" s="2" t="s">
        <v>79</v>
      </c>
      <c r="BB45" s="2" t="s">
        <v>657</v>
      </c>
      <c r="BC45" s="1" t="s">
        <v>129</v>
      </c>
    </row>
    <row r="46" ht="15.75" customHeight="1">
      <c r="A46" s="2">
        <f t="shared" si="2"/>
        <v>45</v>
      </c>
      <c r="B46" s="2" t="s">
        <v>658</v>
      </c>
      <c r="C46" s="2" t="s">
        <v>83</v>
      </c>
      <c r="D46" s="2" t="s">
        <v>84</v>
      </c>
      <c r="E46" s="2" t="s">
        <v>659</v>
      </c>
      <c r="F46" s="2" t="s">
        <v>178</v>
      </c>
      <c r="G46" s="2" t="s">
        <v>111</v>
      </c>
      <c r="H46" s="2" t="s">
        <v>545</v>
      </c>
      <c r="I46" s="2" t="s">
        <v>246</v>
      </c>
      <c r="J46" s="2" t="s">
        <v>296</v>
      </c>
      <c r="K46" s="2" t="s">
        <v>149</v>
      </c>
      <c r="L46" s="2" t="s">
        <v>475</v>
      </c>
      <c r="M46" s="1" t="s">
        <v>61</v>
      </c>
      <c r="N46" s="2" t="str">
        <f t="shared" si="1"/>
        <v>Mujer Interior Coalición CM oposicion_cerril</v>
      </c>
      <c r="O46" s="2" t="s">
        <v>62</v>
      </c>
      <c r="P46" s="6" t="s">
        <v>660</v>
      </c>
      <c r="Q46" s="7" t="s">
        <v>64</v>
      </c>
      <c r="R46" s="7" t="s">
        <v>90</v>
      </c>
      <c r="S46" s="7"/>
      <c r="T46" s="7"/>
      <c r="U46" s="8" t="s">
        <v>91</v>
      </c>
      <c r="V46" s="8" t="s">
        <v>661</v>
      </c>
      <c r="W46" s="2" t="s">
        <v>67</v>
      </c>
      <c r="X46" s="2" t="s">
        <v>662</v>
      </c>
      <c r="Y46" s="8" t="s">
        <v>94</v>
      </c>
      <c r="Z46" s="8" t="s">
        <v>154</v>
      </c>
      <c r="AA46" s="3" t="s">
        <v>662</v>
      </c>
      <c r="AB46" s="7" t="s">
        <v>155</v>
      </c>
      <c r="AC46" s="7" t="s">
        <v>285</v>
      </c>
      <c r="AD46" s="7"/>
      <c r="AE46" s="2" t="s">
        <v>663</v>
      </c>
      <c r="AF46" s="9">
        <v>101.0</v>
      </c>
      <c r="AG46" s="9">
        <v>303.0</v>
      </c>
      <c r="AH46" s="9">
        <v>201.0</v>
      </c>
      <c r="AI46" s="9"/>
      <c r="AJ46" s="9"/>
      <c r="AK46" s="9"/>
      <c r="AL46" s="2" t="s">
        <v>664</v>
      </c>
      <c r="AM46" s="5" t="s">
        <v>664</v>
      </c>
      <c r="AN46" s="9">
        <v>101.0</v>
      </c>
      <c r="AO46" s="9"/>
      <c r="AP46" s="9"/>
      <c r="AQ46" s="9"/>
      <c r="AR46" s="9"/>
      <c r="AS46" s="2" t="s">
        <v>102</v>
      </c>
      <c r="AT46" s="2" t="s">
        <v>665</v>
      </c>
      <c r="AU46" s="9">
        <v>301.0</v>
      </c>
      <c r="AV46" s="9"/>
      <c r="AW46" s="9"/>
      <c r="AX46" s="2" t="s">
        <v>666</v>
      </c>
      <c r="AY46" s="1" t="s">
        <v>142</v>
      </c>
      <c r="AZ46" s="1" t="s">
        <v>127</v>
      </c>
      <c r="BA46" s="2" t="s">
        <v>79</v>
      </c>
      <c r="BB46" s="2" t="s">
        <v>667</v>
      </c>
      <c r="BC46" s="1" t="s">
        <v>291</v>
      </c>
    </row>
    <row r="47" ht="15.75" customHeight="1">
      <c r="A47" s="2">
        <f t="shared" si="2"/>
        <v>46</v>
      </c>
      <c r="B47" s="2" t="s">
        <v>668</v>
      </c>
      <c r="C47" s="2" t="s">
        <v>83</v>
      </c>
      <c r="D47" s="2" t="s">
        <v>84</v>
      </c>
      <c r="E47" s="2" t="s">
        <v>669</v>
      </c>
      <c r="F47" s="2" t="s">
        <v>294</v>
      </c>
      <c r="G47" s="2" t="s">
        <v>111</v>
      </c>
      <c r="H47" s="2" t="s">
        <v>147</v>
      </c>
      <c r="I47" s="2" t="s">
        <v>59</v>
      </c>
      <c r="J47" s="2" t="s">
        <v>180</v>
      </c>
      <c r="K47" s="2" t="s">
        <v>60</v>
      </c>
      <c r="L47" s="2" t="s">
        <v>280</v>
      </c>
      <c r="M47" s="1" t="s">
        <v>61</v>
      </c>
      <c r="N47" s="2" t="str">
        <f t="shared" si="1"/>
        <v>Mujer Interior Frente Amplio FA oficialista_abierto</v>
      </c>
      <c r="O47" s="2" t="s">
        <v>88</v>
      </c>
      <c r="P47" s="6" t="s">
        <v>670</v>
      </c>
      <c r="Q47" s="7" t="s">
        <v>208</v>
      </c>
      <c r="R47" s="7"/>
      <c r="S47" s="7"/>
      <c r="T47" s="7"/>
      <c r="U47" s="8" t="s">
        <v>115</v>
      </c>
      <c r="V47" s="8" t="s">
        <v>209</v>
      </c>
      <c r="W47" s="2" t="s">
        <v>88</v>
      </c>
      <c r="X47" s="2" t="s">
        <v>671</v>
      </c>
      <c r="Y47" s="8" t="s">
        <v>194</v>
      </c>
      <c r="Z47" s="8" t="s">
        <v>212</v>
      </c>
      <c r="AA47" s="3" t="s">
        <v>671</v>
      </c>
      <c r="AB47" s="7" t="s">
        <v>214</v>
      </c>
      <c r="AC47" s="7" t="s">
        <v>97</v>
      </c>
      <c r="AD47" s="7"/>
      <c r="AE47" s="2" t="s">
        <v>672</v>
      </c>
      <c r="AF47" s="9">
        <v>201.0</v>
      </c>
      <c r="AG47" s="9">
        <v>302.0</v>
      </c>
      <c r="AH47" s="9">
        <v>102.0</v>
      </c>
      <c r="AI47" s="9">
        <v>303.0</v>
      </c>
      <c r="AJ47" s="9">
        <v>101.0</v>
      </c>
      <c r="AK47" s="9"/>
      <c r="AL47" s="2" t="s">
        <v>673</v>
      </c>
      <c r="AM47" s="5" t="s">
        <v>673</v>
      </c>
      <c r="AN47" s="9">
        <v>402.0</v>
      </c>
      <c r="AO47" s="9"/>
      <c r="AP47" s="9"/>
      <c r="AQ47" s="9"/>
      <c r="AR47" s="9"/>
      <c r="AS47" s="2" t="s">
        <v>123</v>
      </c>
      <c r="AT47" s="2" t="s">
        <v>674</v>
      </c>
      <c r="AU47" s="9">
        <v>201.0</v>
      </c>
      <c r="AV47" s="9">
        <v>204.0</v>
      </c>
      <c r="AW47" s="9"/>
      <c r="AX47" s="2" t="s">
        <v>675</v>
      </c>
      <c r="AY47" s="1" t="s">
        <v>142</v>
      </c>
      <c r="AZ47" s="1" t="s">
        <v>129</v>
      </c>
      <c r="BA47" s="2" t="s">
        <v>242</v>
      </c>
      <c r="BB47" s="2" t="s">
        <v>676</v>
      </c>
      <c r="BC47" s="1" t="s">
        <v>129</v>
      </c>
    </row>
    <row r="48" ht="15.75" customHeight="1">
      <c r="A48" s="2">
        <f t="shared" si="2"/>
        <v>47</v>
      </c>
      <c r="B48" s="2" t="s">
        <v>677</v>
      </c>
      <c r="C48" s="2" t="s">
        <v>83</v>
      </c>
      <c r="D48" s="2" t="s">
        <v>84</v>
      </c>
      <c r="E48" s="2" t="s">
        <v>678</v>
      </c>
      <c r="F48" s="2" t="s">
        <v>544</v>
      </c>
      <c r="G48" s="2" t="s">
        <v>679</v>
      </c>
      <c r="H48" s="2" t="s">
        <v>531</v>
      </c>
      <c r="I48" s="2" t="s">
        <v>59</v>
      </c>
      <c r="J48" s="2" t="s">
        <v>180</v>
      </c>
      <c r="K48" s="2" t="s">
        <v>60</v>
      </c>
      <c r="L48" s="2" t="s">
        <v>280</v>
      </c>
      <c r="M48" s="1" t="s">
        <v>61</v>
      </c>
      <c r="N48" s="2" t="str">
        <f t="shared" si="1"/>
        <v>Mujer Interior Frente Amplio FA oficialista_abierto</v>
      </c>
      <c r="O48" s="2" t="s">
        <v>88</v>
      </c>
      <c r="P48" s="6" t="s">
        <v>680</v>
      </c>
      <c r="Q48" s="7" t="s">
        <v>90</v>
      </c>
      <c r="R48" s="7"/>
      <c r="S48" s="7"/>
      <c r="T48" s="7"/>
      <c r="U48" s="8" t="s">
        <v>91</v>
      </c>
      <c r="V48" s="8" t="s">
        <v>661</v>
      </c>
      <c r="W48" s="2" t="s">
        <v>62</v>
      </c>
      <c r="X48" s="2" t="s">
        <v>681</v>
      </c>
      <c r="Y48" s="8" t="s">
        <v>194</v>
      </c>
      <c r="Z48" s="8" t="s">
        <v>195</v>
      </c>
      <c r="AA48" s="3" t="s">
        <v>681</v>
      </c>
      <c r="AB48" s="7" t="s">
        <v>97</v>
      </c>
      <c r="AC48" s="7"/>
      <c r="AD48" s="7"/>
      <c r="AE48" s="2" t="s">
        <v>682</v>
      </c>
      <c r="AF48" s="9">
        <v>404.0</v>
      </c>
      <c r="AG48" s="9"/>
      <c r="AH48" s="9"/>
      <c r="AI48" s="9"/>
      <c r="AJ48" s="9"/>
      <c r="AK48" s="9"/>
      <c r="AL48" s="2" t="s">
        <v>683</v>
      </c>
      <c r="AM48" s="5" t="s">
        <v>683</v>
      </c>
      <c r="AN48" s="9">
        <v>402.0</v>
      </c>
      <c r="AO48" s="9"/>
      <c r="AP48" s="9"/>
      <c r="AQ48" s="9"/>
      <c r="AR48" s="9"/>
      <c r="AS48" s="2" t="s">
        <v>123</v>
      </c>
      <c r="AT48" s="2" t="s">
        <v>684</v>
      </c>
      <c r="AU48" s="9">
        <v>202.0</v>
      </c>
      <c r="AV48" s="9"/>
      <c r="AW48" s="9"/>
      <c r="AX48" s="2" t="s">
        <v>685</v>
      </c>
      <c r="AY48" s="1" t="s">
        <v>258</v>
      </c>
      <c r="AZ48" s="1" t="s">
        <v>129</v>
      </c>
      <c r="BA48" s="2" t="s">
        <v>242</v>
      </c>
      <c r="BB48" s="2" t="s">
        <v>645</v>
      </c>
      <c r="BC48" s="1" t="s">
        <v>432</v>
      </c>
    </row>
    <row r="49" ht="15.75" customHeight="1">
      <c r="A49" s="2">
        <f t="shared" si="2"/>
        <v>48</v>
      </c>
      <c r="B49" s="2" t="s">
        <v>686</v>
      </c>
      <c r="C49" s="2" t="s">
        <v>53</v>
      </c>
      <c r="D49" s="2" t="s">
        <v>84</v>
      </c>
      <c r="E49" s="2" t="s">
        <v>687</v>
      </c>
      <c r="F49" s="2" t="s">
        <v>278</v>
      </c>
      <c r="G49" s="2" t="s">
        <v>86</v>
      </c>
      <c r="H49" s="2" t="s">
        <v>688</v>
      </c>
      <c r="I49" s="2" t="s">
        <v>362</v>
      </c>
      <c r="J49" s="2" t="s">
        <v>278</v>
      </c>
      <c r="K49" s="2" t="s">
        <v>149</v>
      </c>
      <c r="L49" s="2" t="s">
        <v>280</v>
      </c>
      <c r="M49" s="1" t="s">
        <v>61</v>
      </c>
      <c r="N49" s="2" t="str">
        <f t="shared" si="1"/>
        <v>Mujer Montevideo CM oficialista_abierto</v>
      </c>
      <c r="O49" s="2" t="s">
        <v>62</v>
      </c>
      <c r="P49" s="6" t="s">
        <v>689</v>
      </c>
      <c r="Q49" s="7" t="s">
        <v>90</v>
      </c>
      <c r="R49" s="7"/>
      <c r="S49" s="7"/>
      <c r="T49" s="7"/>
      <c r="U49" s="8" t="s">
        <v>91</v>
      </c>
      <c r="V49" s="8" t="s">
        <v>661</v>
      </c>
      <c r="W49" s="2" t="s">
        <v>88</v>
      </c>
      <c r="X49" s="2" t="s">
        <v>690</v>
      </c>
      <c r="Y49" s="8" t="s">
        <v>118</v>
      </c>
      <c r="Z49" s="8" t="s">
        <v>119</v>
      </c>
      <c r="AA49" s="3" t="s">
        <v>690</v>
      </c>
      <c r="AB49" s="7" t="s">
        <v>98</v>
      </c>
      <c r="AC49" s="7"/>
      <c r="AD49" s="7"/>
      <c r="AE49" s="2" t="s">
        <v>691</v>
      </c>
      <c r="AF49" s="9">
        <v>503.0</v>
      </c>
      <c r="AG49" s="9"/>
      <c r="AH49" s="9"/>
      <c r="AI49" s="9"/>
      <c r="AJ49" s="9"/>
      <c r="AK49" s="9"/>
      <c r="AL49" s="2" t="s">
        <v>692</v>
      </c>
      <c r="AM49" s="5" t="s">
        <v>692</v>
      </c>
      <c r="AN49" s="9">
        <v>403.0</v>
      </c>
      <c r="AO49" s="9"/>
      <c r="AP49" s="9"/>
      <c r="AQ49" s="9"/>
      <c r="AR49" s="9"/>
      <c r="AS49" s="2" t="s">
        <v>123</v>
      </c>
      <c r="AT49" s="2" t="s">
        <v>693</v>
      </c>
      <c r="AU49" s="9">
        <v>201.0</v>
      </c>
      <c r="AV49" s="9"/>
      <c r="AW49" s="9"/>
      <c r="AX49" s="2" t="s">
        <v>694</v>
      </c>
      <c r="AY49" s="1" t="s">
        <v>105</v>
      </c>
      <c r="AZ49" s="1" t="s">
        <v>129</v>
      </c>
      <c r="BA49" s="2" t="s">
        <v>79</v>
      </c>
      <c r="BB49" s="2" t="s">
        <v>691</v>
      </c>
      <c r="BC49" s="1" t="s">
        <v>432</v>
      </c>
    </row>
    <row r="50" ht="15.75" customHeight="1">
      <c r="A50" s="2">
        <f t="shared" si="2"/>
        <v>49</v>
      </c>
      <c r="B50" s="2" t="s">
        <v>695</v>
      </c>
      <c r="C50" s="2" t="s">
        <v>83</v>
      </c>
      <c r="D50" s="2" t="s">
        <v>54</v>
      </c>
      <c r="E50" s="2" t="s">
        <v>696</v>
      </c>
      <c r="F50" s="2" t="s">
        <v>278</v>
      </c>
      <c r="G50" s="2" t="s">
        <v>232</v>
      </c>
      <c r="H50" s="2" t="s">
        <v>697</v>
      </c>
      <c r="I50" s="2" t="s">
        <v>59</v>
      </c>
      <c r="J50" s="2" t="s">
        <v>278</v>
      </c>
      <c r="K50" s="2" t="s">
        <v>60</v>
      </c>
      <c r="L50" s="2" t="s">
        <v>409</v>
      </c>
      <c r="M50" s="1" t="s">
        <v>61</v>
      </c>
      <c r="N50" s="2" t="str">
        <f t="shared" si="1"/>
        <v>Hombre Montevideo FA dialoguista</v>
      </c>
      <c r="O50" s="2" t="s">
        <v>88</v>
      </c>
      <c r="P50" s="6" t="s">
        <v>698</v>
      </c>
      <c r="Q50" s="7" t="s">
        <v>699</v>
      </c>
      <c r="R50" s="7"/>
      <c r="S50" s="7"/>
      <c r="T50" s="7"/>
      <c r="U50" s="8" t="s">
        <v>533</v>
      </c>
      <c r="V50" s="8" t="s">
        <v>534</v>
      </c>
      <c r="W50" s="2" t="s">
        <v>62</v>
      </c>
      <c r="X50" s="2" t="s">
        <v>700</v>
      </c>
      <c r="Y50" s="8" t="s">
        <v>69</v>
      </c>
      <c r="Z50" s="8" t="s">
        <v>236</v>
      </c>
      <c r="AA50" s="3" t="s">
        <v>701</v>
      </c>
      <c r="AB50" s="7" t="s">
        <v>237</v>
      </c>
      <c r="AC50" s="7"/>
      <c r="AD50" s="7"/>
      <c r="AE50" s="2" t="s">
        <v>702</v>
      </c>
      <c r="AF50" s="9">
        <v>201.0</v>
      </c>
      <c r="AG50" s="9"/>
      <c r="AH50" s="9"/>
      <c r="AI50" s="9"/>
      <c r="AJ50" s="9"/>
      <c r="AK50" s="9"/>
      <c r="AL50" s="2" t="s">
        <v>703</v>
      </c>
      <c r="AM50" s="5" t="s">
        <v>704</v>
      </c>
      <c r="AN50" s="9">
        <v>101.0</v>
      </c>
      <c r="AO50" s="9">
        <v>201.0</v>
      </c>
      <c r="AP50" s="9"/>
      <c r="AQ50" s="9"/>
      <c r="AR50" s="9"/>
      <c r="AS50" s="2" t="s">
        <v>123</v>
      </c>
      <c r="AT50" s="2" t="s">
        <v>705</v>
      </c>
      <c r="AU50" s="9">
        <v>204.0</v>
      </c>
      <c r="AV50" s="9"/>
      <c r="AW50" s="9"/>
      <c r="AX50" s="2" t="s">
        <v>706</v>
      </c>
      <c r="AY50" s="1" t="s">
        <v>77</v>
      </c>
      <c r="AZ50" s="1" t="s">
        <v>227</v>
      </c>
      <c r="BA50" s="2" t="s">
        <v>79</v>
      </c>
      <c r="BB50" s="2" t="s">
        <v>707</v>
      </c>
      <c r="BC50" s="1" t="s">
        <v>161</v>
      </c>
    </row>
    <row r="51" ht="15.75" customHeight="1">
      <c r="A51" s="2">
        <f t="shared" si="2"/>
        <v>50</v>
      </c>
      <c r="B51" s="2" t="s">
        <v>708</v>
      </c>
      <c r="C51" s="2" t="s">
        <v>83</v>
      </c>
      <c r="D51" s="2" t="s">
        <v>84</v>
      </c>
      <c r="E51" s="2" t="s">
        <v>709</v>
      </c>
      <c r="F51" s="2" t="s">
        <v>360</v>
      </c>
      <c r="G51" s="2" t="s">
        <v>111</v>
      </c>
      <c r="H51" s="2" t="s">
        <v>710</v>
      </c>
      <c r="I51" s="2" t="s">
        <v>59</v>
      </c>
      <c r="J51" s="2" t="s">
        <v>180</v>
      </c>
      <c r="K51" s="2" t="s">
        <v>60</v>
      </c>
      <c r="L51" s="2" t="s">
        <v>280</v>
      </c>
      <c r="M51" s="1" t="s">
        <v>61</v>
      </c>
      <c r="N51" s="2" t="str">
        <f t="shared" si="1"/>
        <v>Mujer Interior Frente Amplio FA oficialista_abierto</v>
      </c>
      <c r="O51" s="2" t="s">
        <v>67</v>
      </c>
      <c r="P51" s="6" t="s">
        <v>711</v>
      </c>
      <c r="Q51" s="7" t="s">
        <v>165</v>
      </c>
      <c r="R51" s="7"/>
      <c r="S51" s="7"/>
      <c r="T51" s="7"/>
      <c r="U51" s="8" t="s">
        <v>65</v>
      </c>
      <c r="V51" s="8" t="s">
        <v>324</v>
      </c>
      <c r="W51" s="2" t="s">
        <v>62</v>
      </c>
      <c r="X51" s="2" t="s">
        <v>712</v>
      </c>
      <c r="Y51" s="8" t="s">
        <v>194</v>
      </c>
      <c r="Z51" s="8" t="s">
        <v>195</v>
      </c>
      <c r="AA51" s="3" t="s">
        <v>712</v>
      </c>
      <c r="AB51" s="7" t="s">
        <v>97</v>
      </c>
      <c r="AC51" s="7" t="s">
        <v>713</v>
      </c>
      <c r="AD51" s="7"/>
      <c r="AE51" s="2" t="s">
        <v>714</v>
      </c>
      <c r="AF51" s="9">
        <v>501.0</v>
      </c>
      <c r="AG51" s="9">
        <v>101.0</v>
      </c>
      <c r="AH51" s="9"/>
      <c r="AI51" s="9"/>
      <c r="AJ51" s="9"/>
      <c r="AK51" s="9"/>
      <c r="AL51" s="2" t="s">
        <v>715</v>
      </c>
      <c r="AM51" s="5" t="s">
        <v>715</v>
      </c>
      <c r="AN51" s="9">
        <v>401.0</v>
      </c>
      <c r="AO51" s="9"/>
      <c r="AP51" s="9"/>
      <c r="AQ51" s="9"/>
      <c r="AR51" s="9"/>
      <c r="AS51" s="2" t="s">
        <v>123</v>
      </c>
      <c r="AT51" s="2" t="s">
        <v>716</v>
      </c>
      <c r="AU51" s="9">
        <v>202.0</v>
      </c>
      <c r="AV51" s="9"/>
      <c r="AW51" s="9"/>
      <c r="AX51" s="2" t="s">
        <v>717</v>
      </c>
      <c r="AY51" s="1" t="s">
        <v>105</v>
      </c>
      <c r="AZ51" s="1" t="s">
        <v>127</v>
      </c>
      <c r="BA51" s="2" t="s">
        <v>79</v>
      </c>
      <c r="BB51" s="2" t="s">
        <v>718</v>
      </c>
      <c r="BC51" s="1" t="s">
        <v>470</v>
      </c>
    </row>
    <row r="52" ht="51.75" customHeight="1">
      <c r="A52" s="2">
        <f t="shared" si="2"/>
        <v>51</v>
      </c>
      <c r="B52" s="2" t="s">
        <v>719</v>
      </c>
      <c r="C52" s="2" t="s">
        <v>83</v>
      </c>
      <c r="D52" s="2" t="s">
        <v>84</v>
      </c>
      <c r="E52" s="2" t="s">
        <v>720</v>
      </c>
      <c r="F52" s="2" t="s">
        <v>278</v>
      </c>
      <c r="G52" s="2" t="s">
        <v>57</v>
      </c>
      <c r="H52" s="2" t="s">
        <v>721</v>
      </c>
      <c r="I52" s="2" t="s">
        <v>59</v>
      </c>
      <c r="J52" s="2" t="s">
        <v>278</v>
      </c>
      <c r="K52" s="2" t="s">
        <v>60</v>
      </c>
      <c r="L52" s="2" t="s">
        <v>311</v>
      </c>
      <c r="M52" s="1" t="s">
        <v>61</v>
      </c>
      <c r="N52" s="2" t="str">
        <f t="shared" si="1"/>
        <v>Mujer Montevideo FA oficialista_acerrimo</v>
      </c>
      <c r="O52" s="2" t="s">
        <v>67</v>
      </c>
      <c r="P52" s="6" t="s">
        <v>722</v>
      </c>
      <c r="Q52" s="7" t="s">
        <v>165</v>
      </c>
      <c r="R52" s="7"/>
      <c r="S52" s="7"/>
      <c r="T52" s="7"/>
      <c r="U52" s="8" t="s">
        <v>450</v>
      </c>
      <c r="V52" s="8" t="s">
        <v>723</v>
      </c>
      <c r="W52" s="2" t="s">
        <v>62</v>
      </c>
      <c r="X52" s="2" t="s">
        <v>724</v>
      </c>
      <c r="Y52" s="8" t="s">
        <v>69</v>
      </c>
      <c r="Z52" s="8" t="s">
        <v>236</v>
      </c>
      <c r="AA52" s="3" t="s">
        <v>725</v>
      </c>
      <c r="AB52" s="7" t="s">
        <v>237</v>
      </c>
      <c r="AC52" s="7"/>
      <c r="AD52" s="7"/>
      <c r="AE52" s="2" t="s">
        <v>726</v>
      </c>
      <c r="AF52" s="9">
        <v>101.0</v>
      </c>
      <c r="AG52" s="9">
        <v>303.0</v>
      </c>
      <c r="AH52" s="9">
        <v>104.0</v>
      </c>
      <c r="AI52" s="9"/>
      <c r="AJ52" s="9"/>
      <c r="AK52" s="9"/>
      <c r="AL52" s="2" t="s">
        <v>727</v>
      </c>
      <c r="AM52" s="5" t="s">
        <v>727</v>
      </c>
      <c r="AN52" s="9">
        <v>401.0</v>
      </c>
      <c r="AO52" s="9"/>
      <c r="AP52" s="9"/>
      <c r="AQ52" s="9"/>
      <c r="AR52" s="9"/>
      <c r="AS52" s="2" t="s">
        <v>74</v>
      </c>
      <c r="AT52" s="2" t="s">
        <v>728</v>
      </c>
      <c r="AU52" s="9">
        <v>102.0</v>
      </c>
      <c r="AV52" s="9">
        <v>101.0</v>
      </c>
      <c r="AW52" s="9"/>
      <c r="AX52" s="2" t="s">
        <v>729</v>
      </c>
      <c r="AY52" s="1" t="s">
        <v>105</v>
      </c>
      <c r="AZ52" s="1" t="s">
        <v>129</v>
      </c>
      <c r="BA52" s="2" t="s">
        <v>79</v>
      </c>
      <c r="BB52" s="2" t="s">
        <v>730</v>
      </c>
      <c r="BC52" s="1" t="s">
        <v>144</v>
      </c>
    </row>
    <row r="53" ht="15.75" customHeight="1">
      <c r="A53" s="2">
        <f t="shared" si="2"/>
        <v>52</v>
      </c>
      <c r="B53" s="2" t="s">
        <v>731</v>
      </c>
      <c r="C53" s="2" t="s">
        <v>83</v>
      </c>
      <c r="D53" s="2" t="s">
        <v>54</v>
      </c>
      <c r="E53" s="2" t="s">
        <v>732</v>
      </c>
      <c r="F53" s="2" t="s">
        <v>278</v>
      </c>
      <c r="G53" s="2" t="s">
        <v>57</v>
      </c>
      <c r="H53" s="2" t="s">
        <v>733</v>
      </c>
      <c r="I53" s="2" t="s">
        <v>246</v>
      </c>
      <c r="J53" s="2" t="s">
        <v>278</v>
      </c>
      <c r="K53" s="2" t="s">
        <v>149</v>
      </c>
      <c r="L53" s="2" t="s">
        <v>297</v>
      </c>
      <c r="M53" s="1" t="s">
        <v>61</v>
      </c>
      <c r="N53" s="2" t="str">
        <f t="shared" si="1"/>
        <v>Hombre Montevideo CM oposicion_abierta</v>
      </c>
      <c r="O53" s="2" t="s">
        <v>88</v>
      </c>
      <c r="P53" s="6" t="s">
        <v>734</v>
      </c>
      <c r="Q53" s="7" t="s">
        <v>90</v>
      </c>
      <c r="R53" s="7"/>
      <c r="S53" s="7"/>
      <c r="T53" s="7"/>
      <c r="U53" s="8" t="s">
        <v>151</v>
      </c>
      <c r="V53" s="8" t="s">
        <v>152</v>
      </c>
      <c r="W53" s="2" t="s">
        <v>67</v>
      </c>
      <c r="X53" s="2" t="s">
        <v>735</v>
      </c>
      <c r="Y53" s="8" t="s">
        <v>94</v>
      </c>
      <c r="Z53" s="8" t="s">
        <v>283</v>
      </c>
      <c r="AA53" s="3" t="s">
        <v>736</v>
      </c>
      <c r="AB53" s="7" t="s">
        <v>285</v>
      </c>
      <c r="AC53" s="7" t="s">
        <v>480</v>
      </c>
      <c r="AD53" s="7" t="s">
        <v>737</v>
      </c>
      <c r="AE53" s="2" t="s">
        <v>738</v>
      </c>
      <c r="AF53" s="9">
        <v>403.0</v>
      </c>
      <c r="AG53" s="9">
        <v>203.0</v>
      </c>
      <c r="AH53" s="9">
        <v>202.0</v>
      </c>
      <c r="AI53" s="9"/>
      <c r="AJ53" s="9"/>
      <c r="AK53" s="9"/>
      <c r="AL53" s="2" t="s">
        <v>739</v>
      </c>
      <c r="AM53" s="5" t="s">
        <v>739</v>
      </c>
      <c r="AN53" s="9">
        <v>101.0</v>
      </c>
      <c r="AO53" s="9"/>
      <c r="AP53" s="9"/>
      <c r="AQ53" s="9"/>
      <c r="AR53" s="9"/>
      <c r="AS53" s="2" t="s">
        <v>74</v>
      </c>
      <c r="AT53" s="2" t="s">
        <v>740</v>
      </c>
      <c r="AU53" s="9">
        <v>101.0</v>
      </c>
      <c r="AV53" s="9"/>
      <c r="AW53" s="9"/>
      <c r="AX53" s="2" t="s">
        <v>741</v>
      </c>
      <c r="AY53" s="1" t="s">
        <v>258</v>
      </c>
      <c r="AZ53" s="1" t="s">
        <v>127</v>
      </c>
      <c r="BA53" s="2" t="s">
        <v>242</v>
      </c>
      <c r="BB53" s="2" t="s">
        <v>742</v>
      </c>
      <c r="BC53" s="1" t="s">
        <v>291</v>
      </c>
    </row>
    <row r="54" ht="15.75" customHeight="1">
      <c r="A54" s="2">
        <f t="shared" si="2"/>
        <v>53</v>
      </c>
      <c r="B54" s="2" t="s">
        <v>743</v>
      </c>
      <c r="C54" s="2" t="s">
        <v>83</v>
      </c>
      <c r="D54" s="2" t="s">
        <v>84</v>
      </c>
      <c r="E54" s="2" t="s">
        <v>744</v>
      </c>
      <c r="F54" s="2" t="s">
        <v>473</v>
      </c>
      <c r="G54" s="2" t="s">
        <v>111</v>
      </c>
      <c r="H54" s="2" t="s">
        <v>745</v>
      </c>
      <c r="I54" s="2" t="s">
        <v>246</v>
      </c>
      <c r="J54" s="2" t="s">
        <v>296</v>
      </c>
      <c r="K54" s="2" t="s">
        <v>149</v>
      </c>
      <c r="L54" s="2" t="s">
        <v>311</v>
      </c>
      <c r="M54" s="1" t="s">
        <v>61</v>
      </c>
      <c r="N54" s="2" t="str">
        <f t="shared" si="1"/>
        <v>Mujer Interior Coalición CM oficialista_acerrimo</v>
      </c>
      <c r="O54" s="2" t="s">
        <v>62</v>
      </c>
      <c r="P54" s="6" t="s">
        <v>746</v>
      </c>
      <c r="Q54" s="7" t="s">
        <v>558</v>
      </c>
      <c r="R54" s="7"/>
      <c r="S54" s="7"/>
      <c r="T54" s="7"/>
      <c r="U54" s="8" t="s">
        <v>450</v>
      </c>
      <c r="V54" s="8" t="s">
        <v>547</v>
      </c>
      <c r="W54" s="2" t="s">
        <v>67</v>
      </c>
      <c r="X54" s="2" t="s">
        <v>747</v>
      </c>
      <c r="Y54" s="8" t="s">
        <v>194</v>
      </c>
      <c r="Z54" s="8" t="s">
        <v>748</v>
      </c>
      <c r="AA54" s="3" t="s">
        <v>749</v>
      </c>
      <c r="AB54" s="7" t="s">
        <v>750</v>
      </c>
      <c r="AC54" s="7"/>
      <c r="AD54" s="7"/>
      <c r="AE54" s="2" t="s">
        <v>751</v>
      </c>
      <c r="AF54" s="9">
        <v>502.0</v>
      </c>
      <c r="AG54" s="9"/>
      <c r="AH54" s="9"/>
      <c r="AI54" s="9"/>
      <c r="AJ54" s="9"/>
      <c r="AK54" s="9"/>
      <c r="AL54" s="2" t="s">
        <v>752</v>
      </c>
      <c r="AM54" s="5" t="s">
        <v>752</v>
      </c>
      <c r="AN54" s="9">
        <v>101.0</v>
      </c>
      <c r="AO54" s="9"/>
      <c r="AP54" s="9"/>
      <c r="AQ54" s="9"/>
      <c r="AR54" s="9"/>
      <c r="AS54" s="2" t="s">
        <v>123</v>
      </c>
      <c r="AT54" s="2" t="s">
        <v>753</v>
      </c>
      <c r="AU54" s="9">
        <v>102.0</v>
      </c>
      <c r="AV54" s="9"/>
      <c r="AW54" s="9"/>
      <c r="AX54" s="2" t="s">
        <v>754</v>
      </c>
      <c r="AY54" s="1" t="s">
        <v>258</v>
      </c>
      <c r="AZ54" s="1" t="s">
        <v>78</v>
      </c>
      <c r="BA54" s="2" t="s">
        <v>79</v>
      </c>
      <c r="BB54" s="2" t="s">
        <v>755</v>
      </c>
      <c r="BC54" s="1" t="s">
        <v>202</v>
      </c>
    </row>
    <row r="55" ht="15.75" customHeight="1">
      <c r="A55" s="2">
        <f t="shared" si="2"/>
        <v>54</v>
      </c>
      <c r="B55" s="2" t="s">
        <v>756</v>
      </c>
      <c r="C55" s="2" t="s">
        <v>83</v>
      </c>
      <c r="D55" s="2" t="s">
        <v>84</v>
      </c>
      <c r="E55" s="2" t="s">
        <v>757</v>
      </c>
      <c r="F55" s="2" t="s">
        <v>178</v>
      </c>
      <c r="G55" s="2" t="s">
        <v>57</v>
      </c>
      <c r="H55" s="2" t="s">
        <v>758</v>
      </c>
      <c r="I55" s="2" t="s">
        <v>246</v>
      </c>
      <c r="J55" s="2" t="s">
        <v>296</v>
      </c>
      <c r="K55" s="2" t="s">
        <v>149</v>
      </c>
      <c r="L55" s="2" t="s">
        <v>475</v>
      </c>
      <c r="M55" s="1" t="s">
        <v>61</v>
      </c>
      <c r="N55" s="2" t="str">
        <f t="shared" si="1"/>
        <v>Mujer Interior Coalición CM oposicion_cerril</v>
      </c>
      <c r="O55" s="2" t="s">
        <v>62</v>
      </c>
      <c r="P55" s="6" t="s">
        <v>759</v>
      </c>
      <c r="Q55" s="7" t="s">
        <v>208</v>
      </c>
      <c r="R55" s="7" t="s">
        <v>90</v>
      </c>
      <c r="S55" s="7"/>
      <c r="T55" s="7"/>
      <c r="U55" s="8" t="s">
        <v>115</v>
      </c>
      <c r="V55" s="8" t="s">
        <v>209</v>
      </c>
      <c r="W55" s="2" t="s">
        <v>67</v>
      </c>
      <c r="X55" s="2" t="s">
        <v>760</v>
      </c>
      <c r="Y55" s="8" t="s">
        <v>94</v>
      </c>
      <c r="Z55" s="8" t="s">
        <v>283</v>
      </c>
      <c r="AA55" s="3" t="s">
        <v>761</v>
      </c>
      <c r="AB55" s="7" t="s">
        <v>155</v>
      </c>
      <c r="AC55" s="7" t="s">
        <v>285</v>
      </c>
      <c r="AD55" s="7"/>
      <c r="AE55" s="2" t="s">
        <v>762</v>
      </c>
      <c r="AF55" s="9">
        <v>104.0</v>
      </c>
      <c r="AG55" s="9">
        <v>201.0</v>
      </c>
      <c r="AH55" s="9">
        <v>304.0</v>
      </c>
      <c r="AI55" s="9"/>
      <c r="AJ55" s="9"/>
      <c r="AK55" s="9"/>
      <c r="AL55" s="2" t="s">
        <v>287</v>
      </c>
      <c r="AM55" s="5" t="s">
        <v>287</v>
      </c>
      <c r="AN55" s="9">
        <v>101.0</v>
      </c>
      <c r="AO55" s="9"/>
      <c r="AP55" s="9"/>
      <c r="AQ55" s="9"/>
      <c r="AR55" s="9"/>
      <c r="AS55" s="2" t="s">
        <v>123</v>
      </c>
      <c r="AT55" s="2" t="s">
        <v>763</v>
      </c>
      <c r="AU55" s="9">
        <v>101.0</v>
      </c>
      <c r="AV55" s="9">
        <v>204.0</v>
      </c>
      <c r="AW55" s="9"/>
      <c r="AX55" s="2" t="s">
        <v>764</v>
      </c>
      <c r="AY55" s="1" t="s">
        <v>105</v>
      </c>
      <c r="AZ55" s="1" t="s">
        <v>78</v>
      </c>
      <c r="BA55" s="2" t="s">
        <v>242</v>
      </c>
      <c r="BB55" s="2" t="s">
        <v>765</v>
      </c>
      <c r="BC55" s="1" t="s">
        <v>81</v>
      </c>
    </row>
    <row r="56" ht="15.75" customHeight="1">
      <c r="A56" s="2">
        <f t="shared" si="2"/>
        <v>55</v>
      </c>
      <c r="B56" s="2" t="s">
        <v>766</v>
      </c>
      <c r="C56" s="2" t="s">
        <v>83</v>
      </c>
      <c r="D56" s="2" t="s">
        <v>84</v>
      </c>
      <c r="E56" s="2" t="s">
        <v>767</v>
      </c>
      <c r="F56" s="2" t="s">
        <v>768</v>
      </c>
      <c r="G56" s="2" t="s">
        <v>86</v>
      </c>
      <c r="H56" s="2" t="s">
        <v>769</v>
      </c>
      <c r="I56" s="2" t="s">
        <v>334</v>
      </c>
      <c r="J56" s="2" t="s">
        <v>296</v>
      </c>
      <c r="K56" s="2" t="s">
        <v>149</v>
      </c>
      <c r="L56" s="2" t="s">
        <v>409</v>
      </c>
      <c r="M56" s="1" t="s">
        <v>61</v>
      </c>
      <c r="N56" s="2" t="str">
        <f t="shared" si="1"/>
        <v>Mujer Interior Coalición CM dialoguista</v>
      </c>
      <c r="O56" s="2" t="s">
        <v>88</v>
      </c>
      <c r="P56" s="6" t="s">
        <v>770</v>
      </c>
      <c r="Q56" s="7" t="s">
        <v>134</v>
      </c>
      <c r="R56" s="7" t="s">
        <v>133</v>
      </c>
      <c r="S56" s="7"/>
      <c r="T56" s="7"/>
      <c r="U56" s="8" t="s">
        <v>771</v>
      </c>
      <c r="V56" s="8" t="s">
        <v>772</v>
      </c>
      <c r="W56" s="2" t="s">
        <v>67</v>
      </c>
      <c r="X56" s="2" t="s">
        <v>773</v>
      </c>
      <c r="Y56" s="8" t="s">
        <v>118</v>
      </c>
      <c r="Z56" s="8" t="s">
        <v>536</v>
      </c>
      <c r="AA56" s="3" t="s">
        <v>774</v>
      </c>
      <c r="AB56" s="7" t="s">
        <v>71</v>
      </c>
      <c r="AC56" s="7" t="s">
        <v>98</v>
      </c>
      <c r="AD56" s="7"/>
      <c r="AE56" s="2" t="s">
        <v>775</v>
      </c>
      <c r="AF56" s="9">
        <v>101.0</v>
      </c>
      <c r="AG56" s="9">
        <v>201.0</v>
      </c>
      <c r="AH56" s="9">
        <v>202.0</v>
      </c>
      <c r="AI56" s="9"/>
      <c r="AJ56" s="9"/>
      <c r="AK56" s="9"/>
      <c r="AL56" s="2" t="s">
        <v>776</v>
      </c>
      <c r="AM56" s="5" t="s">
        <v>777</v>
      </c>
      <c r="AN56" s="9">
        <v>101.0</v>
      </c>
      <c r="AO56" s="9"/>
      <c r="AP56" s="9"/>
      <c r="AQ56" s="9"/>
      <c r="AR56" s="9"/>
      <c r="AS56" s="2" t="s">
        <v>123</v>
      </c>
      <c r="AT56" s="2" t="s">
        <v>778</v>
      </c>
      <c r="AU56" s="9">
        <v>101.0</v>
      </c>
      <c r="AV56" s="9"/>
      <c r="AW56" s="9"/>
      <c r="AX56" s="2" t="s">
        <v>779</v>
      </c>
      <c r="AY56" s="1" t="s">
        <v>105</v>
      </c>
      <c r="AZ56" s="1" t="s">
        <v>227</v>
      </c>
      <c r="BA56" s="2" t="s">
        <v>242</v>
      </c>
      <c r="BB56" s="2" t="s">
        <v>780</v>
      </c>
      <c r="BC56" s="1" t="s">
        <v>144</v>
      </c>
    </row>
    <row r="57" ht="15.75" customHeight="1">
      <c r="A57" s="2">
        <f t="shared" si="2"/>
        <v>56</v>
      </c>
      <c r="B57" s="2" t="s">
        <v>781</v>
      </c>
      <c r="C57" s="2" t="s">
        <v>83</v>
      </c>
      <c r="D57" s="2" t="s">
        <v>84</v>
      </c>
      <c r="E57" s="2" t="s">
        <v>782</v>
      </c>
      <c r="F57" s="2" t="s">
        <v>500</v>
      </c>
      <c r="G57" s="2" t="s">
        <v>111</v>
      </c>
      <c r="H57" s="2" t="s">
        <v>531</v>
      </c>
      <c r="I57" s="2" t="s">
        <v>362</v>
      </c>
      <c r="J57" s="2" t="s">
        <v>296</v>
      </c>
      <c r="K57" s="2" t="s">
        <v>149</v>
      </c>
      <c r="L57" s="2" t="s">
        <v>297</v>
      </c>
      <c r="M57" s="1" t="s">
        <v>61</v>
      </c>
      <c r="N57" s="2" t="str">
        <f t="shared" si="1"/>
        <v>Mujer Interior Coalición CM oposicion_abierta</v>
      </c>
      <c r="O57" s="2" t="s">
        <v>62</v>
      </c>
      <c r="P57" s="6" t="s">
        <v>783</v>
      </c>
      <c r="Q57" s="7" t="s">
        <v>234</v>
      </c>
      <c r="R57" s="7"/>
      <c r="S57" s="7"/>
      <c r="T57" s="7"/>
      <c r="U57" s="8" t="s">
        <v>248</v>
      </c>
      <c r="V57" s="8" t="s">
        <v>784</v>
      </c>
      <c r="W57" s="2" t="s">
        <v>67</v>
      </c>
      <c r="X57" s="2" t="s">
        <v>785</v>
      </c>
      <c r="Y57" s="8" t="s">
        <v>69</v>
      </c>
      <c r="Z57" s="8" t="s">
        <v>70</v>
      </c>
      <c r="AA57" s="3" t="s">
        <v>785</v>
      </c>
      <c r="AB57" s="7" t="s">
        <v>71</v>
      </c>
      <c r="AC57" s="7"/>
      <c r="AD57" s="7"/>
      <c r="AE57" s="2" t="s">
        <v>786</v>
      </c>
      <c r="AF57" s="9">
        <v>401.0</v>
      </c>
      <c r="AG57" s="9">
        <v>402.0</v>
      </c>
      <c r="AH57" s="9"/>
      <c r="AI57" s="9"/>
      <c r="AJ57" s="9"/>
      <c r="AK57" s="9"/>
      <c r="AL57" s="2" t="s">
        <v>139</v>
      </c>
      <c r="AM57" s="5" t="s">
        <v>139</v>
      </c>
      <c r="AN57" s="9">
        <v>403.0</v>
      </c>
      <c r="AO57" s="9"/>
      <c r="AP57" s="9"/>
      <c r="AQ57" s="9"/>
      <c r="AR57" s="9"/>
      <c r="AS57" s="2" t="s">
        <v>123</v>
      </c>
      <c r="AT57" s="2" t="s">
        <v>787</v>
      </c>
      <c r="AU57" s="9">
        <v>201.0</v>
      </c>
      <c r="AV57" s="9"/>
      <c r="AW57" s="9"/>
      <c r="AX57" s="2" t="s">
        <v>788</v>
      </c>
      <c r="AY57" s="1" t="s">
        <v>77</v>
      </c>
      <c r="AZ57" s="1" t="s">
        <v>127</v>
      </c>
      <c r="BA57" s="2" t="s">
        <v>242</v>
      </c>
      <c r="BB57" s="2" t="s">
        <v>789</v>
      </c>
      <c r="BC57" s="1" t="s">
        <v>432</v>
      </c>
    </row>
    <row r="58" ht="15.75" customHeight="1">
      <c r="A58" s="2">
        <f t="shared" si="2"/>
        <v>57</v>
      </c>
      <c r="B58" s="2" t="s">
        <v>790</v>
      </c>
      <c r="C58" s="2" t="s">
        <v>83</v>
      </c>
      <c r="D58" s="2" t="s">
        <v>84</v>
      </c>
      <c r="E58" s="2" t="s">
        <v>791</v>
      </c>
      <c r="F58" s="2" t="s">
        <v>360</v>
      </c>
      <c r="G58" s="2" t="s">
        <v>57</v>
      </c>
      <c r="H58" s="2" t="s">
        <v>792</v>
      </c>
      <c r="I58" s="2" t="s">
        <v>246</v>
      </c>
      <c r="J58" s="2" t="s">
        <v>296</v>
      </c>
      <c r="K58" s="2" t="s">
        <v>149</v>
      </c>
      <c r="L58" s="2" t="s">
        <v>297</v>
      </c>
      <c r="M58" s="1" t="s">
        <v>61</v>
      </c>
      <c r="N58" s="2" t="str">
        <f t="shared" si="1"/>
        <v>Mujer Interior Coalición CM oposicion_abierta</v>
      </c>
      <c r="O58" s="2" t="s">
        <v>88</v>
      </c>
      <c r="P58" s="6" t="s">
        <v>793</v>
      </c>
      <c r="Q58" s="7" t="s">
        <v>462</v>
      </c>
      <c r="R58" s="7" t="s">
        <v>90</v>
      </c>
      <c r="S58" s="7"/>
      <c r="T58" s="7"/>
      <c r="U58" s="8" t="s">
        <v>450</v>
      </c>
      <c r="V58" s="8" t="s">
        <v>451</v>
      </c>
      <c r="W58" s="2" t="s">
        <v>88</v>
      </c>
      <c r="X58" s="2" t="s">
        <v>794</v>
      </c>
      <c r="Y58" s="8" t="s">
        <v>194</v>
      </c>
      <c r="Z58" s="8" t="s">
        <v>195</v>
      </c>
      <c r="AA58" s="3" t="s">
        <v>794</v>
      </c>
      <c r="AB58" s="7" t="s">
        <v>196</v>
      </c>
      <c r="AC58" s="7"/>
      <c r="AD58" s="7"/>
      <c r="AE58" s="2" t="s">
        <v>795</v>
      </c>
      <c r="AF58" s="9">
        <v>201.0</v>
      </c>
      <c r="AG58" s="9">
        <v>202.0</v>
      </c>
      <c r="AH58" s="9"/>
      <c r="AI58" s="9"/>
      <c r="AJ58" s="9"/>
      <c r="AK58" s="9"/>
      <c r="AL58" s="2" t="s">
        <v>139</v>
      </c>
      <c r="AM58" s="5" t="s">
        <v>139</v>
      </c>
      <c r="AN58" s="9">
        <v>403.0</v>
      </c>
      <c r="AO58" s="9"/>
      <c r="AP58" s="9"/>
      <c r="AQ58" s="9"/>
      <c r="AR58" s="9"/>
      <c r="AS58" s="2" t="s">
        <v>102</v>
      </c>
      <c r="AT58" s="2" t="s">
        <v>796</v>
      </c>
      <c r="AU58" s="9">
        <v>402.0</v>
      </c>
      <c r="AV58" s="9"/>
      <c r="AW58" s="9"/>
      <c r="AX58" s="2" t="s">
        <v>797</v>
      </c>
      <c r="AY58" s="1" t="s">
        <v>77</v>
      </c>
      <c r="AZ58" s="1" t="s">
        <v>127</v>
      </c>
      <c r="BA58" s="2" t="s">
        <v>79</v>
      </c>
      <c r="BB58" s="2" t="s">
        <v>798</v>
      </c>
      <c r="BC58" s="1" t="s">
        <v>107</v>
      </c>
    </row>
    <row r="59" ht="15.75" customHeight="1">
      <c r="A59" s="2">
        <f t="shared" si="2"/>
        <v>58</v>
      </c>
      <c r="B59" s="2" t="s">
        <v>799</v>
      </c>
      <c r="C59" s="2" t="s">
        <v>83</v>
      </c>
      <c r="D59" s="2" t="s">
        <v>84</v>
      </c>
      <c r="E59" s="2" t="s">
        <v>800</v>
      </c>
      <c r="F59" s="2" t="s">
        <v>768</v>
      </c>
      <c r="G59" s="2" t="s">
        <v>86</v>
      </c>
      <c r="H59" s="2" t="s">
        <v>801</v>
      </c>
      <c r="I59" s="2" t="s">
        <v>59</v>
      </c>
      <c r="J59" s="2" t="s">
        <v>180</v>
      </c>
      <c r="K59" s="2" t="s">
        <v>60</v>
      </c>
      <c r="L59" s="2" t="s">
        <v>280</v>
      </c>
      <c r="M59" s="1" t="s">
        <v>61</v>
      </c>
      <c r="N59" s="2" t="str">
        <f t="shared" si="1"/>
        <v>Mujer Interior Frente Amplio FA oficialista_abierto</v>
      </c>
      <c r="O59" s="2" t="s">
        <v>67</v>
      </c>
      <c r="P59" s="6" t="s">
        <v>802</v>
      </c>
      <c r="Q59" s="7" t="s">
        <v>114</v>
      </c>
      <c r="R59" s="7"/>
      <c r="S59" s="7"/>
      <c r="T59" s="7"/>
      <c r="U59" s="8" t="s">
        <v>151</v>
      </c>
      <c r="V59" s="8" t="s">
        <v>438</v>
      </c>
      <c r="W59" s="2" t="s">
        <v>62</v>
      </c>
      <c r="X59" s="2" t="s">
        <v>803</v>
      </c>
      <c r="Y59" s="8" t="s">
        <v>194</v>
      </c>
      <c r="Z59" s="8" t="s">
        <v>195</v>
      </c>
      <c r="AA59" s="3" t="s">
        <v>803</v>
      </c>
      <c r="AB59" s="7" t="s">
        <v>97</v>
      </c>
      <c r="AC59" s="7" t="s">
        <v>196</v>
      </c>
      <c r="AD59" s="7"/>
      <c r="AE59" s="2" t="s">
        <v>804</v>
      </c>
      <c r="AF59" s="9">
        <v>201.0</v>
      </c>
      <c r="AG59" s="9"/>
      <c r="AH59" s="9"/>
      <c r="AI59" s="9"/>
      <c r="AJ59" s="9"/>
      <c r="AK59" s="9"/>
      <c r="AL59" s="2" t="s">
        <v>139</v>
      </c>
      <c r="AM59" s="5" t="s">
        <v>139</v>
      </c>
      <c r="AN59" s="9">
        <v>403.0</v>
      </c>
      <c r="AO59" s="9"/>
      <c r="AP59" s="9"/>
      <c r="AQ59" s="9"/>
      <c r="AR59" s="9"/>
      <c r="AS59" s="2" t="s">
        <v>123</v>
      </c>
      <c r="AT59" s="2" t="s">
        <v>805</v>
      </c>
      <c r="AU59" s="9">
        <v>202.0</v>
      </c>
      <c r="AV59" s="9"/>
      <c r="AW59" s="9"/>
      <c r="AX59" s="2" t="s">
        <v>806</v>
      </c>
      <c r="AY59" s="1" t="s">
        <v>77</v>
      </c>
      <c r="AZ59" s="1" t="s">
        <v>127</v>
      </c>
      <c r="BA59" s="2" t="s">
        <v>174</v>
      </c>
      <c r="BB59" s="2" t="s">
        <v>807</v>
      </c>
      <c r="BC59" s="1" t="s">
        <v>202</v>
      </c>
    </row>
    <row r="60" ht="15.75" customHeight="1">
      <c r="A60" s="2">
        <f t="shared" si="2"/>
        <v>59</v>
      </c>
      <c r="B60" s="2" t="s">
        <v>276</v>
      </c>
      <c r="C60" s="2" t="s">
        <v>53</v>
      </c>
      <c r="D60" s="2" t="s">
        <v>84</v>
      </c>
      <c r="E60" s="2" t="s">
        <v>808</v>
      </c>
      <c r="F60" s="2" t="s">
        <v>360</v>
      </c>
      <c r="G60" s="2" t="s">
        <v>86</v>
      </c>
      <c r="H60" s="2" t="s">
        <v>809</v>
      </c>
      <c r="I60" s="2" t="s">
        <v>362</v>
      </c>
      <c r="J60" s="2" t="s">
        <v>296</v>
      </c>
      <c r="K60" s="2" t="s">
        <v>149</v>
      </c>
      <c r="L60" s="2" t="s">
        <v>374</v>
      </c>
      <c r="M60" s="1" t="s">
        <v>61</v>
      </c>
      <c r="N60" s="2" t="str">
        <f t="shared" si="1"/>
        <v>Mujer Interior Coalición CM desinformadas</v>
      </c>
      <c r="O60" s="2" t="s">
        <v>67</v>
      </c>
      <c r="P60" s="6" t="s">
        <v>810</v>
      </c>
      <c r="Q60" s="7" t="s">
        <v>263</v>
      </c>
      <c r="R60" s="7"/>
      <c r="S60" s="7"/>
      <c r="T60" s="7"/>
      <c r="U60" s="8" t="s">
        <v>151</v>
      </c>
      <c r="V60" s="8" t="s">
        <v>438</v>
      </c>
      <c r="W60" s="2" t="s">
        <v>67</v>
      </c>
      <c r="X60" s="2" t="s">
        <v>811</v>
      </c>
      <c r="Y60" s="8" t="s">
        <v>118</v>
      </c>
      <c r="Z60" s="8" t="s">
        <v>536</v>
      </c>
      <c r="AA60" s="3" t="s">
        <v>811</v>
      </c>
      <c r="AB60" s="7" t="s">
        <v>71</v>
      </c>
      <c r="AC60" s="7"/>
      <c r="AD60" s="7"/>
      <c r="AE60" s="2" t="s">
        <v>812</v>
      </c>
      <c r="AF60" s="9">
        <v>503.0</v>
      </c>
      <c r="AG60" s="9"/>
      <c r="AH60" s="9"/>
      <c r="AI60" s="9"/>
      <c r="AJ60" s="9"/>
      <c r="AK60" s="9"/>
      <c r="AL60" s="2" t="s">
        <v>692</v>
      </c>
      <c r="AM60" s="5" t="s">
        <v>692</v>
      </c>
      <c r="AN60" s="9">
        <v>403.0</v>
      </c>
      <c r="AO60" s="9"/>
      <c r="AP60" s="9"/>
      <c r="AQ60" s="9"/>
      <c r="AR60" s="9"/>
      <c r="AS60" s="2" t="s">
        <v>123</v>
      </c>
      <c r="AT60" s="2" t="s">
        <v>813</v>
      </c>
      <c r="AU60" s="9">
        <v>202.0</v>
      </c>
      <c r="AV60" s="9"/>
      <c r="AW60" s="9"/>
      <c r="AX60" s="2" t="s">
        <v>810</v>
      </c>
      <c r="AY60" s="1" t="s">
        <v>77</v>
      </c>
      <c r="AZ60" s="1" t="s">
        <v>127</v>
      </c>
      <c r="BA60" s="2" t="s">
        <v>174</v>
      </c>
      <c r="BB60" s="2" t="s">
        <v>814</v>
      </c>
      <c r="BC60" s="1" t="s">
        <v>432</v>
      </c>
    </row>
    <row r="61" ht="15.75" customHeight="1">
      <c r="A61" s="2">
        <f t="shared" si="2"/>
        <v>60</v>
      </c>
      <c r="B61" s="2" t="s">
        <v>815</v>
      </c>
      <c r="C61" s="2" t="s">
        <v>53</v>
      </c>
      <c r="D61" s="2" t="s">
        <v>84</v>
      </c>
      <c r="E61" s="2" t="s">
        <v>816</v>
      </c>
      <c r="F61" s="2" t="s">
        <v>473</v>
      </c>
      <c r="G61" s="2" t="s">
        <v>57</v>
      </c>
      <c r="H61" s="2" t="s">
        <v>817</v>
      </c>
      <c r="I61" s="2" t="s">
        <v>246</v>
      </c>
      <c r="J61" s="2" t="s">
        <v>296</v>
      </c>
      <c r="K61" s="2" t="s">
        <v>149</v>
      </c>
      <c r="L61" s="2" t="s">
        <v>409</v>
      </c>
      <c r="M61" s="1" t="s">
        <v>61</v>
      </c>
      <c r="N61" s="2" t="str">
        <f t="shared" si="1"/>
        <v>Mujer Interior Coalición CM dialoguista</v>
      </c>
      <c r="O61" s="2" t="s">
        <v>62</v>
      </c>
      <c r="P61" s="6" t="s">
        <v>818</v>
      </c>
      <c r="Q61" s="7" t="s">
        <v>336</v>
      </c>
      <c r="R61" s="7"/>
      <c r="S61" s="7"/>
      <c r="T61" s="7"/>
      <c r="U61" s="8" t="s">
        <v>337</v>
      </c>
      <c r="V61" s="8" t="s">
        <v>477</v>
      </c>
      <c r="W61" s="2" t="s">
        <v>67</v>
      </c>
      <c r="X61" s="2" t="s">
        <v>819</v>
      </c>
      <c r="Y61" s="8" t="s">
        <v>94</v>
      </c>
      <c r="Z61" s="8" t="s">
        <v>283</v>
      </c>
      <c r="AA61" s="3" t="s">
        <v>819</v>
      </c>
      <c r="AB61" s="7" t="s">
        <v>285</v>
      </c>
      <c r="AC61" s="7"/>
      <c r="AD61" s="7"/>
      <c r="AE61" s="2" t="s">
        <v>820</v>
      </c>
      <c r="AF61" s="9">
        <v>203.0</v>
      </c>
      <c r="AG61" s="9">
        <v>201.0</v>
      </c>
      <c r="AH61" s="9">
        <v>102.0</v>
      </c>
      <c r="AI61" s="9">
        <v>104.0</v>
      </c>
      <c r="AJ61" s="9"/>
      <c r="AK61" s="9"/>
      <c r="AL61" s="2" t="s">
        <v>821</v>
      </c>
      <c r="AM61" s="5" t="s">
        <v>821</v>
      </c>
      <c r="AN61" s="9">
        <v>101.0</v>
      </c>
      <c r="AO61" s="9"/>
      <c r="AP61" s="9"/>
      <c r="AQ61" s="9"/>
      <c r="AR61" s="9"/>
      <c r="AS61" s="2" t="s">
        <v>139</v>
      </c>
      <c r="AT61" s="2" t="s">
        <v>822</v>
      </c>
      <c r="AU61" s="9">
        <v>102.0</v>
      </c>
      <c r="AV61" s="9"/>
      <c r="AW61" s="9"/>
      <c r="AX61" s="2" t="s">
        <v>823</v>
      </c>
      <c r="AY61" s="1" t="s">
        <v>142</v>
      </c>
      <c r="AZ61" s="1" t="s">
        <v>187</v>
      </c>
      <c r="BA61" s="2" t="s">
        <v>79</v>
      </c>
      <c r="BB61" s="2" t="s">
        <v>824</v>
      </c>
      <c r="BC61" s="1" t="s">
        <v>432</v>
      </c>
    </row>
    <row r="62" ht="15.75" customHeight="1">
      <c r="A62" s="2">
        <f t="shared" si="2"/>
        <v>61</v>
      </c>
      <c r="B62" s="2" t="s">
        <v>825</v>
      </c>
      <c r="C62" s="2" t="s">
        <v>109</v>
      </c>
      <c r="D62" s="2" t="s">
        <v>54</v>
      </c>
      <c r="E62" s="2" t="s">
        <v>826</v>
      </c>
      <c r="F62" s="2" t="s">
        <v>178</v>
      </c>
      <c r="G62" s="2" t="s">
        <v>57</v>
      </c>
      <c r="H62" s="2" t="s">
        <v>423</v>
      </c>
      <c r="I62" s="2" t="s">
        <v>246</v>
      </c>
      <c r="J62" s="2" t="s">
        <v>296</v>
      </c>
      <c r="K62" s="2" t="s">
        <v>149</v>
      </c>
      <c r="L62" s="2" t="s">
        <v>280</v>
      </c>
      <c r="M62" s="1" t="s">
        <v>61</v>
      </c>
      <c r="N62" s="2" t="str">
        <f t="shared" si="1"/>
        <v>Hombre Interior Coalición CM oficialista_abierto</v>
      </c>
      <c r="O62" s="2" t="s">
        <v>62</v>
      </c>
      <c r="P62" s="6" t="s">
        <v>827</v>
      </c>
      <c r="Q62" s="7" t="s">
        <v>299</v>
      </c>
      <c r="R62" s="7" t="s">
        <v>208</v>
      </c>
      <c r="S62" s="7"/>
      <c r="T62" s="7"/>
      <c r="U62" s="8" t="s">
        <v>533</v>
      </c>
      <c r="V62" s="8" t="s">
        <v>828</v>
      </c>
      <c r="W62" s="2" t="s">
        <v>67</v>
      </c>
      <c r="X62" s="2" t="s">
        <v>829</v>
      </c>
      <c r="Y62" s="8" t="s">
        <v>94</v>
      </c>
      <c r="Z62" s="8" t="s">
        <v>154</v>
      </c>
      <c r="AA62" s="3" t="s">
        <v>829</v>
      </c>
      <c r="AB62" s="7" t="s">
        <v>155</v>
      </c>
      <c r="AC62" s="7" t="s">
        <v>285</v>
      </c>
      <c r="AD62" s="7"/>
      <c r="AE62" s="2" t="s">
        <v>830</v>
      </c>
      <c r="AF62" s="9">
        <v>502.0</v>
      </c>
      <c r="AG62" s="9"/>
      <c r="AH62" s="9"/>
      <c r="AI62" s="9"/>
      <c r="AJ62" s="9"/>
      <c r="AK62" s="9"/>
      <c r="AL62" s="2" t="s">
        <v>831</v>
      </c>
      <c r="AM62" s="5" t="s">
        <v>831</v>
      </c>
      <c r="AN62" s="9">
        <v>101.0</v>
      </c>
      <c r="AO62" s="9"/>
      <c r="AP62" s="9"/>
      <c r="AQ62" s="9"/>
      <c r="AR62" s="9"/>
      <c r="AS62" s="2" t="s">
        <v>74</v>
      </c>
      <c r="AT62" s="2" t="s">
        <v>832</v>
      </c>
      <c r="AU62" s="9">
        <v>301.0</v>
      </c>
      <c r="AV62" s="9">
        <v>401.0</v>
      </c>
      <c r="AW62" s="9"/>
      <c r="AX62" s="2" t="s">
        <v>833</v>
      </c>
      <c r="AY62" s="1" t="s">
        <v>646</v>
      </c>
      <c r="AZ62" s="1" t="s">
        <v>127</v>
      </c>
      <c r="BA62" s="2" t="s">
        <v>79</v>
      </c>
      <c r="BB62" s="2" t="s">
        <v>834</v>
      </c>
      <c r="BC62" s="1" t="s">
        <v>432</v>
      </c>
    </row>
    <row r="63" ht="15.75" customHeight="1">
      <c r="A63" s="2">
        <f t="shared" si="2"/>
        <v>62</v>
      </c>
      <c r="B63" s="2" t="s">
        <v>835</v>
      </c>
      <c r="C63" s="2" t="s">
        <v>53</v>
      </c>
      <c r="D63" s="2" t="s">
        <v>54</v>
      </c>
      <c r="E63" s="2" t="s">
        <v>836</v>
      </c>
      <c r="F63" s="2" t="s">
        <v>56</v>
      </c>
      <c r="G63" s="2" t="s">
        <v>86</v>
      </c>
      <c r="H63" s="2" t="s">
        <v>837</v>
      </c>
      <c r="I63" s="2" t="s">
        <v>246</v>
      </c>
      <c r="J63" s="2" t="s">
        <v>56</v>
      </c>
      <c r="K63" s="2" t="s">
        <v>149</v>
      </c>
      <c r="L63" s="2" t="s">
        <v>475</v>
      </c>
      <c r="M63" s="1" t="s">
        <v>61</v>
      </c>
      <c r="N63" s="2" t="str">
        <f t="shared" si="1"/>
        <v>Hombre Canelones CM oposicion_cerril</v>
      </c>
      <c r="O63" s="2" t="s">
        <v>62</v>
      </c>
      <c r="P63" s="6" t="s">
        <v>838</v>
      </c>
      <c r="Q63" s="7" t="s">
        <v>90</v>
      </c>
      <c r="R63" s="7" t="s">
        <v>299</v>
      </c>
      <c r="S63" s="7"/>
      <c r="T63" s="7"/>
      <c r="U63" s="8" t="s">
        <v>91</v>
      </c>
      <c r="V63" s="8" t="s">
        <v>661</v>
      </c>
      <c r="W63" s="2" t="s">
        <v>67</v>
      </c>
      <c r="X63" s="2" t="s">
        <v>839</v>
      </c>
      <c r="Y63" s="8" t="s">
        <v>94</v>
      </c>
      <c r="Z63" s="8" t="s">
        <v>154</v>
      </c>
      <c r="AA63" s="3" t="s">
        <v>840</v>
      </c>
      <c r="AB63" s="7" t="s">
        <v>155</v>
      </c>
      <c r="AC63" s="7" t="s">
        <v>71</v>
      </c>
      <c r="AD63" s="7"/>
      <c r="AE63" s="2" t="s">
        <v>841</v>
      </c>
      <c r="AF63" s="9">
        <v>402.0</v>
      </c>
      <c r="AG63" s="9">
        <v>502.0</v>
      </c>
      <c r="AH63" s="9"/>
      <c r="AI63" s="9"/>
      <c r="AJ63" s="9"/>
      <c r="AK63" s="9"/>
      <c r="AL63" s="2" t="s">
        <v>842</v>
      </c>
      <c r="AM63" s="5" t="s">
        <v>843</v>
      </c>
      <c r="AN63" s="9">
        <v>101.0</v>
      </c>
      <c r="AO63" s="9"/>
      <c r="AP63" s="9"/>
      <c r="AQ63" s="9"/>
      <c r="AR63" s="9"/>
      <c r="AS63" s="2" t="s">
        <v>139</v>
      </c>
      <c r="AT63" s="2" t="s">
        <v>844</v>
      </c>
      <c r="AU63" s="9">
        <v>303.0</v>
      </c>
      <c r="AV63" s="9"/>
      <c r="AW63" s="9"/>
      <c r="AX63" s="2" t="s">
        <v>845</v>
      </c>
      <c r="AY63" s="1" t="s">
        <v>258</v>
      </c>
      <c r="AZ63" s="1" t="s">
        <v>78</v>
      </c>
      <c r="BA63" s="2" t="s">
        <v>79</v>
      </c>
      <c r="BB63" s="2" t="s">
        <v>846</v>
      </c>
      <c r="BC63" s="1" t="s">
        <v>129</v>
      </c>
    </row>
    <row r="64" ht="15.75" customHeight="1">
      <c r="A64" s="2">
        <f t="shared" si="2"/>
        <v>63</v>
      </c>
      <c r="B64" s="2" t="s">
        <v>847</v>
      </c>
      <c r="C64" s="2" t="s">
        <v>83</v>
      </c>
      <c r="D64" s="2" t="s">
        <v>84</v>
      </c>
      <c r="E64" s="2" t="s">
        <v>848</v>
      </c>
      <c r="F64" s="2" t="s">
        <v>278</v>
      </c>
      <c r="G64" s="2" t="s">
        <v>232</v>
      </c>
      <c r="H64" s="2" t="s">
        <v>849</v>
      </c>
      <c r="I64" s="2" t="s">
        <v>59</v>
      </c>
      <c r="J64" s="2" t="s">
        <v>278</v>
      </c>
      <c r="K64" s="2" t="s">
        <v>60</v>
      </c>
      <c r="L64" s="2" t="s">
        <v>311</v>
      </c>
      <c r="M64" s="1" t="s">
        <v>61</v>
      </c>
      <c r="N64" s="2" t="str">
        <f t="shared" si="1"/>
        <v>Mujer Montevideo FA oficialista_acerrimo</v>
      </c>
      <c r="O64" s="2" t="s">
        <v>88</v>
      </c>
      <c r="P64" s="6" t="s">
        <v>850</v>
      </c>
      <c r="Q64" s="7" t="s">
        <v>559</v>
      </c>
      <c r="R64" s="7" t="s">
        <v>558</v>
      </c>
      <c r="S64" s="7"/>
      <c r="T64" s="7"/>
      <c r="U64" s="8" t="s">
        <v>450</v>
      </c>
      <c r="V64" s="8" t="s">
        <v>723</v>
      </c>
      <c r="W64" s="2" t="s">
        <v>62</v>
      </c>
      <c r="X64" s="2" t="s">
        <v>851</v>
      </c>
      <c r="Y64" s="8" t="s">
        <v>69</v>
      </c>
      <c r="Z64" s="8" t="s">
        <v>236</v>
      </c>
      <c r="AA64" s="3" t="s">
        <v>851</v>
      </c>
      <c r="AB64" s="7" t="s">
        <v>237</v>
      </c>
      <c r="AC64" s="7"/>
      <c r="AD64" s="7"/>
      <c r="AE64" s="2" t="s">
        <v>852</v>
      </c>
      <c r="AF64" s="9">
        <v>403.0</v>
      </c>
      <c r="AG64" s="9">
        <v>402.0</v>
      </c>
      <c r="AH64" s="9"/>
      <c r="AI64" s="9"/>
      <c r="AJ64" s="9"/>
      <c r="AK64" s="9"/>
      <c r="AL64" s="2" t="s">
        <v>853</v>
      </c>
      <c r="AM64" s="5" t="s">
        <v>853</v>
      </c>
      <c r="AN64" s="9">
        <v>401.0</v>
      </c>
      <c r="AO64" s="9"/>
      <c r="AP64" s="9"/>
      <c r="AQ64" s="9"/>
      <c r="AR64" s="9"/>
      <c r="AS64" s="2" t="s">
        <v>123</v>
      </c>
      <c r="AT64" s="2" t="s">
        <v>854</v>
      </c>
      <c r="AU64" s="9">
        <v>201.0</v>
      </c>
      <c r="AV64" s="9">
        <v>204.0</v>
      </c>
      <c r="AW64" s="9"/>
      <c r="AX64" s="2" t="s">
        <v>855</v>
      </c>
      <c r="AY64" s="1" t="s">
        <v>258</v>
      </c>
      <c r="AZ64" s="1" t="s">
        <v>159</v>
      </c>
      <c r="BA64" s="2" t="s">
        <v>174</v>
      </c>
      <c r="BB64" s="2" t="s">
        <v>856</v>
      </c>
      <c r="BC64" s="1" t="s">
        <v>432</v>
      </c>
    </row>
    <row r="65" ht="15.75" customHeight="1">
      <c r="A65" s="2">
        <f t="shared" si="2"/>
        <v>64</v>
      </c>
      <c r="B65" s="2" t="s">
        <v>857</v>
      </c>
      <c r="C65" s="2" t="s">
        <v>53</v>
      </c>
      <c r="D65" s="2" t="s">
        <v>84</v>
      </c>
      <c r="E65" s="2" t="s">
        <v>858</v>
      </c>
      <c r="F65" s="2" t="s">
        <v>768</v>
      </c>
      <c r="G65" s="2" t="s">
        <v>57</v>
      </c>
      <c r="H65" s="2" t="s">
        <v>859</v>
      </c>
      <c r="I65" s="2" t="s">
        <v>246</v>
      </c>
      <c r="J65" s="2" t="s">
        <v>296</v>
      </c>
      <c r="K65" s="2" t="s">
        <v>149</v>
      </c>
      <c r="L65" s="2" t="s">
        <v>374</v>
      </c>
      <c r="M65" s="1" t="s">
        <v>61</v>
      </c>
      <c r="N65" s="2" t="str">
        <f t="shared" si="1"/>
        <v>Mujer Interior Coalición CM desinformadas</v>
      </c>
      <c r="O65" s="2" t="s">
        <v>62</v>
      </c>
      <c r="P65" s="6" t="s">
        <v>860</v>
      </c>
      <c r="Q65" s="7" t="s">
        <v>558</v>
      </c>
      <c r="R65" s="7" t="s">
        <v>462</v>
      </c>
      <c r="S65" s="7"/>
      <c r="T65" s="7"/>
      <c r="U65" s="8" t="s">
        <v>450</v>
      </c>
      <c r="V65" s="8" t="s">
        <v>547</v>
      </c>
      <c r="W65" s="2" t="s">
        <v>67</v>
      </c>
      <c r="X65" s="2" t="s">
        <v>861</v>
      </c>
      <c r="Y65" s="8" t="s">
        <v>194</v>
      </c>
      <c r="Z65" s="8" t="s">
        <v>748</v>
      </c>
      <c r="AA65" s="3" t="s">
        <v>862</v>
      </c>
      <c r="AB65" s="7" t="s">
        <v>737</v>
      </c>
      <c r="AC65" s="7" t="s">
        <v>285</v>
      </c>
      <c r="AD65" s="7"/>
      <c r="AE65" s="2" t="s">
        <v>863</v>
      </c>
      <c r="AF65" s="9">
        <v>101.0</v>
      </c>
      <c r="AG65" s="9">
        <v>103.0</v>
      </c>
      <c r="AH65" s="9">
        <v>104.0</v>
      </c>
      <c r="AI65" s="9"/>
      <c r="AJ65" s="9"/>
      <c r="AK65" s="9"/>
      <c r="AL65" s="2" t="s">
        <v>864</v>
      </c>
      <c r="AM65" s="5" t="s">
        <v>864</v>
      </c>
      <c r="AN65" s="9">
        <v>101.0</v>
      </c>
      <c r="AO65" s="9"/>
      <c r="AP65" s="9"/>
      <c r="AQ65" s="9"/>
      <c r="AR65" s="9"/>
      <c r="AS65" s="2" t="s">
        <v>102</v>
      </c>
      <c r="AT65" s="2" t="s">
        <v>865</v>
      </c>
      <c r="AU65" s="9">
        <v>202.0</v>
      </c>
      <c r="AV65" s="9">
        <v>101.0</v>
      </c>
      <c r="AW65" s="9"/>
      <c r="AX65" s="2" t="s">
        <v>866</v>
      </c>
      <c r="AY65" s="1" t="s">
        <v>105</v>
      </c>
      <c r="AZ65" s="1" t="s">
        <v>78</v>
      </c>
      <c r="BA65" s="2" t="s">
        <v>79</v>
      </c>
      <c r="BB65" s="2" t="s">
        <v>867</v>
      </c>
      <c r="BC65" s="1" t="s">
        <v>202</v>
      </c>
    </row>
    <row r="66" ht="15.75" customHeight="1">
      <c r="A66" s="2">
        <f t="shared" si="2"/>
        <v>65</v>
      </c>
      <c r="B66" s="2" t="s">
        <v>868</v>
      </c>
      <c r="C66" s="2" t="s">
        <v>109</v>
      </c>
      <c r="D66" s="2" t="s">
        <v>84</v>
      </c>
      <c r="E66" s="2" t="s">
        <v>869</v>
      </c>
      <c r="F66" s="2" t="s">
        <v>473</v>
      </c>
      <c r="G66" s="2" t="s">
        <v>205</v>
      </c>
      <c r="H66" s="2" t="s">
        <v>870</v>
      </c>
      <c r="I66" s="2" t="s">
        <v>246</v>
      </c>
      <c r="J66" s="2" t="s">
        <v>296</v>
      </c>
      <c r="K66" s="2" t="s">
        <v>149</v>
      </c>
      <c r="L66" s="2" t="s">
        <v>475</v>
      </c>
      <c r="M66" s="1" t="s">
        <v>61</v>
      </c>
      <c r="N66" s="2" t="str">
        <f t="shared" si="1"/>
        <v>Mujer Interior Coalición CM oposicion_cerril</v>
      </c>
      <c r="O66" s="2" t="s">
        <v>62</v>
      </c>
      <c r="P66" s="6" t="s">
        <v>871</v>
      </c>
      <c r="Q66" s="7" t="s">
        <v>208</v>
      </c>
      <c r="R66" s="7" t="s">
        <v>558</v>
      </c>
      <c r="S66" s="7" t="s">
        <v>559</v>
      </c>
      <c r="T66" s="7"/>
      <c r="U66" s="8" t="s">
        <v>115</v>
      </c>
      <c r="V66" s="8" t="s">
        <v>209</v>
      </c>
      <c r="W66" s="2" t="s">
        <v>67</v>
      </c>
      <c r="X66" s="2" t="s">
        <v>872</v>
      </c>
      <c r="Y66" s="8" t="s">
        <v>194</v>
      </c>
      <c r="Z66" s="8" t="s">
        <v>748</v>
      </c>
      <c r="AA66" s="3" t="s">
        <v>873</v>
      </c>
      <c r="AB66" s="7" t="s">
        <v>874</v>
      </c>
      <c r="AC66" s="7" t="s">
        <v>737</v>
      </c>
      <c r="AD66" s="7" t="s">
        <v>71</v>
      </c>
      <c r="AE66" s="2" t="s">
        <v>875</v>
      </c>
      <c r="AF66" s="9">
        <v>202.0</v>
      </c>
      <c r="AG66" s="9">
        <v>204.0</v>
      </c>
      <c r="AH66" s="9"/>
      <c r="AI66" s="9"/>
      <c r="AJ66" s="9"/>
      <c r="AK66" s="9"/>
      <c r="AL66" s="2" t="s">
        <v>876</v>
      </c>
      <c r="AM66" s="5" t="s">
        <v>877</v>
      </c>
      <c r="AN66" s="9">
        <v>101.0</v>
      </c>
      <c r="AO66" s="9">
        <v>202.0</v>
      </c>
      <c r="AP66" s="9">
        <v>203.0</v>
      </c>
      <c r="AQ66" s="9"/>
      <c r="AR66" s="9"/>
      <c r="AS66" s="2" t="s">
        <v>123</v>
      </c>
      <c r="AT66" s="2" t="s">
        <v>878</v>
      </c>
      <c r="AU66" s="9">
        <v>101.0</v>
      </c>
      <c r="AV66" s="9">
        <v>204.0</v>
      </c>
      <c r="AW66" s="9"/>
      <c r="AX66" s="2" t="s">
        <v>879</v>
      </c>
      <c r="AY66" s="1" t="s">
        <v>646</v>
      </c>
      <c r="AZ66" s="1" t="s">
        <v>127</v>
      </c>
      <c r="BA66" s="2" t="s">
        <v>79</v>
      </c>
      <c r="BB66" s="2" t="s">
        <v>880</v>
      </c>
      <c r="BC66" s="1" t="s">
        <v>129</v>
      </c>
    </row>
    <row r="67" ht="15.75" customHeight="1">
      <c r="A67" s="2">
        <f t="shared" si="2"/>
        <v>66</v>
      </c>
      <c r="B67" s="2" t="s">
        <v>881</v>
      </c>
      <c r="C67" s="2" t="s">
        <v>109</v>
      </c>
      <c r="D67" s="2" t="s">
        <v>54</v>
      </c>
      <c r="E67" s="2" t="s">
        <v>882</v>
      </c>
      <c r="F67" s="2" t="s">
        <v>278</v>
      </c>
      <c r="G67" s="2" t="s">
        <v>111</v>
      </c>
      <c r="H67" s="2" t="s">
        <v>883</v>
      </c>
      <c r="I67" s="2" t="s">
        <v>148</v>
      </c>
      <c r="J67" s="2" t="s">
        <v>278</v>
      </c>
      <c r="K67" s="2" t="s">
        <v>149</v>
      </c>
      <c r="L67" s="2" t="s">
        <v>409</v>
      </c>
      <c r="M67" s="1" t="s">
        <v>61</v>
      </c>
      <c r="N67" s="2" t="str">
        <f t="shared" si="1"/>
        <v>Hombre Montevideo CM dialoguista</v>
      </c>
      <c r="O67" s="2" t="s">
        <v>88</v>
      </c>
      <c r="P67" s="6" t="s">
        <v>884</v>
      </c>
      <c r="Q67" s="7" t="s">
        <v>64</v>
      </c>
      <c r="R67" s="7"/>
      <c r="S67" s="7"/>
      <c r="T67" s="7"/>
      <c r="U67" s="8" t="s">
        <v>151</v>
      </c>
      <c r="V67" s="8" t="s">
        <v>152</v>
      </c>
      <c r="W67" s="2" t="s">
        <v>88</v>
      </c>
      <c r="X67" s="2" t="s">
        <v>885</v>
      </c>
      <c r="Y67" s="8" t="s">
        <v>194</v>
      </c>
      <c r="Z67" s="8" t="s">
        <v>195</v>
      </c>
      <c r="AA67" s="3" t="s">
        <v>885</v>
      </c>
      <c r="AB67" s="7" t="s">
        <v>196</v>
      </c>
      <c r="AC67" s="7"/>
      <c r="AD67" s="7"/>
      <c r="AE67" s="2" t="s">
        <v>886</v>
      </c>
      <c r="AF67" s="9">
        <v>101.0</v>
      </c>
      <c r="AG67" s="9">
        <v>201.0</v>
      </c>
      <c r="AH67" s="9"/>
      <c r="AI67" s="9"/>
      <c r="AJ67" s="9"/>
      <c r="AK67" s="9"/>
      <c r="AL67" s="2" t="s">
        <v>887</v>
      </c>
      <c r="AM67" s="5" t="s">
        <v>887</v>
      </c>
      <c r="AN67" s="9">
        <v>402.0</v>
      </c>
      <c r="AO67" s="9"/>
      <c r="AP67" s="9"/>
      <c r="AQ67" s="9"/>
      <c r="AR67" s="9"/>
      <c r="AS67" s="2" t="s">
        <v>74</v>
      </c>
      <c r="AT67" s="2" t="s">
        <v>888</v>
      </c>
      <c r="AU67" s="9">
        <v>102.0</v>
      </c>
      <c r="AV67" s="9"/>
      <c r="AW67" s="9"/>
      <c r="AX67" s="2" t="s">
        <v>889</v>
      </c>
      <c r="AY67" s="1" t="s">
        <v>142</v>
      </c>
      <c r="AZ67" s="1" t="s">
        <v>127</v>
      </c>
      <c r="BA67" s="2" t="s">
        <v>79</v>
      </c>
      <c r="BB67" s="2" t="s">
        <v>890</v>
      </c>
      <c r="BC67" s="1" t="s">
        <v>291</v>
      </c>
    </row>
    <row r="68" ht="15.75" customHeight="1">
      <c r="A68" s="2">
        <f t="shared" si="2"/>
        <v>67</v>
      </c>
      <c r="B68" s="2" t="s">
        <v>891</v>
      </c>
      <c r="C68" s="2" t="s">
        <v>109</v>
      </c>
      <c r="D68" s="2" t="s">
        <v>54</v>
      </c>
      <c r="E68" s="2" t="s">
        <v>892</v>
      </c>
      <c r="F68" s="2" t="s">
        <v>893</v>
      </c>
      <c r="G68" s="2" t="s">
        <v>232</v>
      </c>
      <c r="H68" s="2" t="s">
        <v>423</v>
      </c>
      <c r="I68" s="2" t="s">
        <v>246</v>
      </c>
      <c r="J68" s="2" t="s">
        <v>296</v>
      </c>
      <c r="K68" s="2" t="s">
        <v>149</v>
      </c>
      <c r="L68" s="2" t="s">
        <v>297</v>
      </c>
      <c r="M68" s="1" t="s">
        <v>61</v>
      </c>
      <c r="N68" s="2" t="str">
        <f t="shared" si="1"/>
        <v>Hombre Interior Coalición CM oposicion_abierta</v>
      </c>
      <c r="O68" s="2" t="s">
        <v>88</v>
      </c>
      <c r="P68" s="6" t="s">
        <v>894</v>
      </c>
      <c r="Q68" s="7" t="s">
        <v>133</v>
      </c>
      <c r="R68" s="7"/>
      <c r="S68" s="7"/>
      <c r="T68" s="7"/>
      <c r="U68" s="8" t="s">
        <v>135</v>
      </c>
      <c r="V68" s="8" t="s">
        <v>136</v>
      </c>
      <c r="W68" s="2" t="s">
        <v>88</v>
      </c>
      <c r="X68" s="2" t="s">
        <v>895</v>
      </c>
      <c r="Y68" s="8" t="s">
        <v>118</v>
      </c>
      <c r="Z68" s="8" t="s">
        <v>119</v>
      </c>
      <c r="AA68" s="3" t="s">
        <v>895</v>
      </c>
      <c r="AB68" s="7" t="s">
        <v>98</v>
      </c>
      <c r="AC68" s="7"/>
      <c r="AD68" s="7"/>
      <c r="AE68" s="2" t="s">
        <v>896</v>
      </c>
      <c r="AF68" s="9">
        <v>202.0</v>
      </c>
      <c r="AG68" s="9"/>
      <c r="AH68" s="9"/>
      <c r="AI68" s="9"/>
      <c r="AJ68" s="9"/>
      <c r="AK68" s="9"/>
      <c r="AL68" s="2" t="s">
        <v>897</v>
      </c>
      <c r="AM68" s="5" t="s">
        <v>897</v>
      </c>
      <c r="AN68" s="9">
        <v>101.0</v>
      </c>
      <c r="AO68" s="9">
        <v>202.0</v>
      </c>
      <c r="AP68" s="9"/>
      <c r="AQ68" s="9"/>
      <c r="AR68" s="9"/>
      <c r="AS68" s="2" t="s">
        <v>123</v>
      </c>
      <c r="AT68" s="2" t="s">
        <v>898</v>
      </c>
      <c r="AU68" s="9">
        <v>201.0</v>
      </c>
      <c r="AV68" s="9">
        <v>204.0</v>
      </c>
      <c r="AW68" s="9"/>
      <c r="AX68" s="2" t="s">
        <v>899</v>
      </c>
      <c r="AY68" s="1" t="s">
        <v>142</v>
      </c>
      <c r="AZ68" s="1" t="s">
        <v>127</v>
      </c>
      <c r="BA68" s="2" t="s">
        <v>242</v>
      </c>
      <c r="BB68" s="2" t="s">
        <v>900</v>
      </c>
      <c r="BC68" s="1" t="s">
        <v>129</v>
      </c>
    </row>
    <row r="69" ht="15.75" customHeight="1">
      <c r="A69" s="2">
        <f t="shared" si="2"/>
        <v>68</v>
      </c>
      <c r="B69" s="2" t="s">
        <v>901</v>
      </c>
      <c r="C69" s="2" t="s">
        <v>53</v>
      </c>
      <c r="D69" s="2" t="s">
        <v>54</v>
      </c>
      <c r="E69" s="2" t="s">
        <v>902</v>
      </c>
      <c r="F69" s="2" t="s">
        <v>768</v>
      </c>
      <c r="G69" s="2" t="s">
        <v>232</v>
      </c>
      <c r="H69" s="2" t="s">
        <v>903</v>
      </c>
      <c r="I69" s="2" t="s">
        <v>59</v>
      </c>
      <c r="J69" s="2" t="s">
        <v>180</v>
      </c>
      <c r="K69" s="2" t="s">
        <v>60</v>
      </c>
      <c r="L69" s="2" t="s">
        <v>409</v>
      </c>
      <c r="M69" s="1" t="s">
        <v>61</v>
      </c>
      <c r="N69" s="2" t="str">
        <f t="shared" si="1"/>
        <v>Hombre Interior Frente Amplio FA dialoguista</v>
      </c>
      <c r="O69" s="2" t="s">
        <v>88</v>
      </c>
      <c r="P69" s="6" t="s">
        <v>904</v>
      </c>
      <c r="Q69" s="7" t="s">
        <v>134</v>
      </c>
      <c r="R69" s="7"/>
      <c r="S69" s="7"/>
      <c r="T69" s="7"/>
      <c r="U69" s="8" t="s">
        <v>771</v>
      </c>
      <c r="V69" s="8" t="s">
        <v>905</v>
      </c>
      <c r="W69" s="2" t="s">
        <v>67</v>
      </c>
      <c r="X69" s="2" t="s">
        <v>906</v>
      </c>
      <c r="Y69" s="8" t="s">
        <v>94</v>
      </c>
      <c r="Z69" s="8" t="s">
        <v>154</v>
      </c>
      <c r="AA69" s="3" t="s">
        <v>907</v>
      </c>
      <c r="AB69" s="7" t="s">
        <v>98</v>
      </c>
      <c r="AC69" s="7" t="s">
        <v>285</v>
      </c>
      <c r="AD69" s="7"/>
      <c r="AE69" s="2" t="s">
        <v>908</v>
      </c>
      <c r="AF69" s="9">
        <v>303.0</v>
      </c>
      <c r="AG69" s="9">
        <v>201.0</v>
      </c>
      <c r="AH69" s="9"/>
      <c r="AI69" s="9"/>
      <c r="AJ69" s="9"/>
      <c r="AK69" s="9"/>
      <c r="AL69" s="2" t="s">
        <v>909</v>
      </c>
      <c r="AM69" s="5" t="s">
        <v>910</v>
      </c>
      <c r="AN69" s="9">
        <v>401.0</v>
      </c>
      <c r="AO69" s="9"/>
      <c r="AP69" s="9"/>
      <c r="AQ69" s="9"/>
      <c r="AR69" s="9"/>
      <c r="AS69" s="2" t="s">
        <v>123</v>
      </c>
      <c r="AT69" s="2" t="s">
        <v>911</v>
      </c>
      <c r="AU69" s="9">
        <v>202.0</v>
      </c>
      <c r="AV69" s="9">
        <v>102.0</v>
      </c>
      <c r="AW69" s="9"/>
      <c r="AX69" s="2" t="s">
        <v>912</v>
      </c>
      <c r="AY69" s="1" t="s">
        <v>142</v>
      </c>
      <c r="AZ69" s="1" t="s">
        <v>127</v>
      </c>
      <c r="BA69" s="2" t="s">
        <v>79</v>
      </c>
      <c r="BB69" s="2" t="s">
        <v>913</v>
      </c>
      <c r="BC69" s="1" t="s">
        <v>470</v>
      </c>
    </row>
    <row r="70" ht="15.75" customHeight="1">
      <c r="A70" s="2">
        <f t="shared" si="2"/>
        <v>69</v>
      </c>
      <c r="B70" s="2" t="s">
        <v>914</v>
      </c>
      <c r="C70" s="2" t="s">
        <v>83</v>
      </c>
      <c r="D70" s="2" t="s">
        <v>84</v>
      </c>
      <c r="E70" s="2" t="s">
        <v>915</v>
      </c>
      <c r="F70" s="2" t="s">
        <v>278</v>
      </c>
      <c r="G70" s="2" t="s">
        <v>86</v>
      </c>
      <c r="H70" s="2" t="s">
        <v>916</v>
      </c>
      <c r="I70" s="2" t="s">
        <v>59</v>
      </c>
      <c r="J70" s="2" t="s">
        <v>278</v>
      </c>
      <c r="K70" s="2" t="s">
        <v>60</v>
      </c>
      <c r="L70" s="2" t="s">
        <v>311</v>
      </c>
      <c r="M70" s="1" t="s">
        <v>61</v>
      </c>
      <c r="N70" s="2" t="str">
        <f t="shared" si="1"/>
        <v>Mujer Montevideo FA oficialista_acerrimo</v>
      </c>
      <c r="O70" s="2" t="s">
        <v>62</v>
      </c>
      <c r="P70" s="6" t="s">
        <v>917</v>
      </c>
      <c r="Q70" s="7" t="s">
        <v>64</v>
      </c>
      <c r="R70" s="7" t="s">
        <v>558</v>
      </c>
      <c r="S70" s="7"/>
      <c r="T70" s="7"/>
      <c r="U70" s="8" t="s">
        <v>248</v>
      </c>
      <c r="V70" s="8" t="s">
        <v>784</v>
      </c>
      <c r="W70" s="2" t="s">
        <v>62</v>
      </c>
      <c r="X70" s="2" t="s">
        <v>918</v>
      </c>
      <c r="Y70" s="8" t="s">
        <v>266</v>
      </c>
      <c r="Z70" s="8" t="s">
        <v>314</v>
      </c>
      <c r="AA70" s="3" t="s">
        <v>919</v>
      </c>
      <c r="AB70" s="7" t="s">
        <v>270</v>
      </c>
      <c r="AC70" s="7" t="s">
        <v>713</v>
      </c>
      <c r="AD70" s="7"/>
      <c r="AE70" s="2" t="s">
        <v>920</v>
      </c>
      <c r="AF70" s="9">
        <v>301.0</v>
      </c>
      <c r="AG70" s="9">
        <v>302.0</v>
      </c>
      <c r="AH70" s="9">
        <v>101.0</v>
      </c>
      <c r="AI70" s="9">
        <v>401.0</v>
      </c>
      <c r="AJ70" s="9"/>
      <c r="AK70" s="9"/>
      <c r="AL70" s="2" t="s">
        <v>921</v>
      </c>
      <c r="AM70" s="5" t="s">
        <v>922</v>
      </c>
      <c r="AN70" s="9">
        <v>206.0</v>
      </c>
      <c r="AO70" s="9"/>
      <c r="AP70" s="9"/>
      <c r="AQ70" s="9"/>
      <c r="AR70" s="9"/>
      <c r="AS70" s="2" t="s">
        <v>74</v>
      </c>
      <c r="AT70" s="1" t="s">
        <v>506</v>
      </c>
      <c r="AU70" s="1">
        <v>402.0</v>
      </c>
      <c r="AV70" s="1"/>
      <c r="AW70" s="1"/>
      <c r="AX70" s="2" t="s">
        <v>923</v>
      </c>
      <c r="AY70" s="1" t="s">
        <v>646</v>
      </c>
      <c r="AZ70" s="1" t="s">
        <v>127</v>
      </c>
      <c r="BA70" s="2" t="s">
        <v>242</v>
      </c>
      <c r="BB70" s="2" t="s">
        <v>924</v>
      </c>
      <c r="BC70" s="1" t="s">
        <v>144</v>
      </c>
    </row>
    <row r="71" ht="15.75" customHeight="1">
      <c r="A71" s="2">
        <f t="shared" si="2"/>
        <v>70</v>
      </c>
      <c r="B71" s="2" t="s">
        <v>925</v>
      </c>
      <c r="C71" s="2" t="s">
        <v>83</v>
      </c>
      <c r="D71" s="2" t="s">
        <v>84</v>
      </c>
      <c r="E71" s="2" t="s">
        <v>926</v>
      </c>
      <c r="F71" s="2" t="s">
        <v>278</v>
      </c>
      <c r="G71" s="2" t="s">
        <v>86</v>
      </c>
      <c r="H71" s="2" t="s">
        <v>927</v>
      </c>
      <c r="I71" s="2" t="s">
        <v>246</v>
      </c>
      <c r="J71" s="2" t="s">
        <v>278</v>
      </c>
      <c r="K71" s="2" t="s">
        <v>149</v>
      </c>
      <c r="L71" s="2" t="s">
        <v>297</v>
      </c>
      <c r="M71" s="1" t="s">
        <v>61</v>
      </c>
      <c r="N71" s="2" t="str">
        <f t="shared" si="1"/>
        <v>Mujer Montevideo CM oposicion_abierta</v>
      </c>
      <c r="O71" s="2" t="s">
        <v>62</v>
      </c>
      <c r="P71" s="6" t="s">
        <v>928</v>
      </c>
      <c r="Q71" s="7" t="s">
        <v>64</v>
      </c>
      <c r="R71" s="7"/>
      <c r="S71" s="7"/>
      <c r="T71" s="7"/>
      <c r="U71" s="8" t="s">
        <v>399</v>
      </c>
      <c r="V71" s="8" t="s">
        <v>522</v>
      </c>
      <c r="W71" s="2" t="s">
        <v>67</v>
      </c>
      <c r="X71" s="2" t="s">
        <v>929</v>
      </c>
      <c r="Y71" s="8" t="s">
        <v>94</v>
      </c>
      <c r="Z71" s="8" t="s">
        <v>283</v>
      </c>
      <c r="AA71" s="3" t="s">
        <v>930</v>
      </c>
      <c r="AB71" s="7" t="s">
        <v>285</v>
      </c>
      <c r="AC71" s="7"/>
      <c r="AD71" s="7"/>
      <c r="AE71" s="2" t="s">
        <v>931</v>
      </c>
      <c r="AF71" s="9">
        <v>403.0</v>
      </c>
      <c r="AG71" s="9">
        <v>402.0</v>
      </c>
      <c r="AH71" s="9"/>
      <c r="AI71" s="9"/>
      <c r="AJ71" s="9"/>
      <c r="AK71" s="9"/>
      <c r="AL71" s="2" t="s">
        <v>932</v>
      </c>
      <c r="AM71" s="5" t="s">
        <v>932</v>
      </c>
      <c r="AN71" s="9">
        <v>401.0</v>
      </c>
      <c r="AO71" s="9"/>
      <c r="AP71" s="9"/>
      <c r="AQ71" s="9"/>
      <c r="AR71" s="9"/>
      <c r="AS71" s="2" t="s">
        <v>123</v>
      </c>
      <c r="AT71" s="2" t="s">
        <v>933</v>
      </c>
      <c r="AU71" s="9">
        <v>201.0</v>
      </c>
      <c r="AV71" s="9"/>
      <c r="AW71" s="9"/>
      <c r="AX71" s="2" t="s">
        <v>934</v>
      </c>
      <c r="AY71" s="1" t="s">
        <v>646</v>
      </c>
      <c r="AZ71" s="1" t="s">
        <v>127</v>
      </c>
      <c r="BA71" s="2" t="s">
        <v>79</v>
      </c>
      <c r="BB71" s="2" t="s">
        <v>935</v>
      </c>
      <c r="BC71" s="1" t="s">
        <v>107</v>
      </c>
    </row>
    <row r="72" ht="15.75" customHeight="1">
      <c r="A72" s="2">
        <f t="shared" si="2"/>
        <v>71</v>
      </c>
      <c r="B72" s="2" t="s">
        <v>936</v>
      </c>
      <c r="C72" s="2" t="s">
        <v>83</v>
      </c>
      <c r="D72" s="2" t="s">
        <v>84</v>
      </c>
      <c r="E72" s="2" t="s">
        <v>937</v>
      </c>
      <c r="F72" s="2" t="s">
        <v>56</v>
      </c>
      <c r="G72" s="2" t="s">
        <v>111</v>
      </c>
      <c r="H72" s="2" t="s">
        <v>938</v>
      </c>
      <c r="I72" s="2" t="s">
        <v>59</v>
      </c>
      <c r="J72" s="2" t="s">
        <v>56</v>
      </c>
      <c r="K72" s="2" t="s">
        <v>60</v>
      </c>
      <c r="L72" s="2" t="s">
        <v>280</v>
      </c>
      <c r="M72" s="1" t="s">
        <v>61</v>
      </c>
      <c r="N72" s="2" t="str">
        <f t="shared" si="1"/>
        <v>Mujer Canelones FA oficialista_abierto</v>
      </c>
      <c r="O72" s="2" t="s">
        <v>67</v>
      </c>
      <c r="P72" s="6" t="s">
        <v>939</v>
      </c>
      <c r="Q72" s="7" t="s">
        <v>165</v>
      </c>
      <c r="R72" s="7"/>
      <c r="S72" s="7"/>
      <c r="T72" s="7"/>
      <c r="U72" s="8" t="s">
        <v>65</v>
      </c>
      <c r="V72" s="8" t="s">
        <v>324</v>
      </c>
      <c r="W72" s="2" t="s">
        <v>88</v>
      </c>
      <c r="X72" s="2" t="s">
        <v>940</v>
      </c>
      <c r="Y72" s="8" t="s">
        <v>94</v>
      </c>
      <c r="Z72" s="8" t="s">
        <v>941</v>
      </c>
      <c r="AA72" s="3" t="s">
        <v>942</v>
      </c>
      <c r="AB72" s="7" t="s">
        <v>155</v>
      </c>
      <c r="AC72" s="7" t="s">
        <v>943</v>
      </c>
      <c r="AD72" s="7" t="s">
        <v>480</v>
      </c>
      <c r="AE72" s="2" t="s">
        <v>944</v>
      </c>
      <c r="AF72" s="9">
        <v>501.0</v>
      </c>
      <c r="AG72" s="9">
        <v>101.0</v>
      </c>
      <c r="AH72" s="9"/>
      <c r="AI72" s="9"/>
      <c r="AJ72" s="9"/>
      <c r="AK72" s="9"/>
      <c r="AL72" s="2" t="s">
        <v>139</v>
      </c>
      <c r="AM72" s="5" t="s">
        <v>139</v>
      </c>
      <c r="AN72" s="9">
        <v>403.0</v>
      </c>
      <c r="AO72" s="9"/>
      <c r="AP72" s="9"/>
      <c r="AQ72" s="9"/>
      <c r="AR72" s="9"/>
      <c r="AS72" s="2" t="s">
        <v>123</v>
      </c>
      <c r="AT72" s="2" t="s">
        <v>945</v>
      </c>
      <c r="AU72" s="9">
        <v>202.0</v>
      </c>
      <c r="AV72" s="9">
        <v>203.0</v>
      </c>
      <c r="AW72" s="9"/>
      <c r="AX72" s="2" t="s">
        <v>946</v>
      </c>
      <c r="AY72" s="1" t="s">
        <v>105</v>
      </c>
      <c r="AZ72" s="1" t="s">
        <v>127</v>
      </c>
      <c r="BA72" s="2" t="s">
        <v>79</v>
      </c>
      <c r="BB72" s="2" t="s">
        <v>947</v>
      </c>
      <c r="BC72" s="1" t="s">
        <v>161</v>
      </c>
    </row>
    <row r="73" ht="15.75" customHeight="1">
      <c r="A73" s="2">
        <f t="shared" si="2"/>
        <v>72</v>
      </c>
      <c r="B73" s="2" t="s">
        <v>948</v>
      </c>
      <c r="C73" s="2" t="s">
        <v>109</v>
      </c>
      <c r="D73" s="2" t="s">
        <v>84</v>
      </c>
      <c r="E73" s="2" t="s">
        <v>949</v>
      </c>
      <c r="F73" s="2" t="s">
        <v>950</v>
      </c>
      <c r="G73" s="2" t="s">
        <v>205</v>
      </c>
      <c r="H73" s="2" t="s">
        <v>951</v>
      </c>
      <c r="I73" s="2" t="s">
        <v>59</v>
      </c>
      <c r="J73" s="2" t="s">
        <v>180</v>
      </c>
      <c r="K73" s="2" t="s">
        <v>60</v>
      </c>
      <c r="L73" s="2" t="s">
        <v>311</v>
      </c>
      <c r="M73" s="1" t="s">
        <v>61</v>
      </c>
      <c r="N73" s="2" t="str">
        <f t="shared" si="1"/>
        <v>Mujer Interior Frente Amplio FA oficialista_acerrimo</v>
      </c>
      <c r="O73" s="2" t="s">
        <v>67</v>
      </c>
      <c r="P73" s="6" t="s">
        <v>952</v>
      </c>
      <c r="Q73" s="7" t="s">
        <v>114</v>
      </c>
      <c r="R73" s="7"/>
      <c r="S73" s="7"/>
      <c r="T73" s="7"/>
      <c r="U73" s="8" t="s">
        <v>115</v>
      </c>
      <c r="V73" s="8" t="s">
        <v>116</v>
      </c>
      <c r="W73" s="2" t="s">
        <v>62</v>
      </c>
      <c r="X73" s="2" t="s">
        <v>953</v>
      </c>
      <c r="Y73" s="8" t="s">
        <v>194</v>
      </c>
      <c r="Z73" s="8" t="s">
        <v>212</v>
      </c>
      <c r="AA73" s="3" t="s">
        <v>954</v>
      </c>
      <c r="AB73" s="7" t="s">
        <v>214</v>
      </c>
      <c r="AC73" s="7" t="s">
        <v>270</v>
      </c>
      <c r="AD73" s="7"/>
      <c r="AE73" s="2" t="s">
        <v>955</v>
      </c>
      <c r="AF73" s="9">
        <v>501.0</v>
      </c>
      <c r="AG73" s="9">
        <v>402.0</v>
      </c>
      <c r="AH73" s="9"/>
      <c r="AI73" s="9"/>
      <c r="AJ73" s="9"/>
      <c r="AK73" s="9"/>
      <c r="AL73" s="2" t="s">
        <v>956</v>
      </c>
      <c r="AM73" s="5" t="s">
        <v>957</v>
      </c>
      <c r="AN73" s="9">
        <v>201.0</v>
      </c>
      <c r="AO73" s="9"/>
      <c r="AP73" s="9"/>
      <c r="AQ73" s="9"/>
      <c r="AR73" s="9"/>
      <c r="AS73" s="2" t="s">
        <v>123</v>
      </c>
      <c r="AT73" s="2" t="s">
        <v>958</v>
      </c>
      <c r="AU73" s="9">
        <v>201.0</v>
      </c>
      <c r="AV73" s="9"/>
      <c r="AW73" s="9"/>
      <c r="AY73" s="1" t="s">
        <v>959</v>
      </c>
      <c r="AZ73" s="1" t="s">
        <v>959</v>
      </c>
      <c r="BC73" s="1" t="s">
        <v>959</v>
      </c>
    </row>
    <row r="74" ht="15.75" customHeight="1">
      <c r="A74" s="2">
        <f t="shared" si="2"/>
        <v>73</v>
      </c>
      <c r="B74" s="2" t="s">
        <v>960</v>
      </c>
      <c r="C74" s="2" t="s">
        <v>83</v>
      </c>
      <c r="D74" s="2" t="s">
        <v>54</v>
      </c>
      <c r="E74" s="2" t="s">
        <v>961</v>
      </c>
      <c r="F74" s="2" t="s">
        <v>278</v>
      </c>
      <c r="G74" s="2" t="s">
        <v>86</v>
      </c>
      <c r="H74" s="2" t="s">
        <v>962</v>
      </c>
      <c r="I74" s="2" t="s">
        <v>59</v>
      </c>
      <c r="J74" s="2" t="s">
        <v>278</v>
      </c>
      <c r="K74" s="2" t="s">
        <v>60</v>
      </c>
      <c r="L74" s="2" t="s">
        <v>311</v>
      </c>
      <c r="M74" s="1" t="s">
        <v>61</v>
      </c>
      <c r="N74" s="2" t="str">
        <f t="shared" si="1"/>
        <v>Hombre Montevideo FA oficialista_acerrimo</v>
      </c>
      <c r="O74" s="2" t="s">
        <v>62</v>
      </c>
      <c r="P74" s="6" t="s">
        <v>963</v>
      </c>
      <c r="Q74" s="7" t="s">
        <v>64</v>
      </c>
      <c r="R74" s="7"/>
      <c r="S74" s="7"/>
      <c r="T74" s="7"/>
      <c r="U74" s="8" t="s">
        <v>248</v>
      </c>
      <c r="V74" s="8" t="s">
        <v>249</v>
      </c>
      <c r="W74" s="2" t="s">
        <v>67</v>
      </c>
      <c r="X74" s="2" t="s">
        <v>964</v>
      </c>
      <c r="Y74" s="8" t="s">
        <v>94</v>
      </c>
      <c r="Z74" s="8" t="s">
        <v>283</v>
      </c>
      <c r="AA74" s="3" t="s">
        <v>965</v>
      </c>
      <c r="AB74" s="7" t="s">
        <v>155</v>
      </c>
      <c r="AC74" s="7" t="s">
        <v>285</v>
      </c>
      <c r="AD74" s="7"/>
      <c r="AE74" s="2" t="s">
        <v>966</v>
      </c>
      <c r="AF74" s="9">
        <v>402.0</v>
      </c>
      <c r="AG74" s="9"/>
      <c r="AH74" s="9"/>
      <c r="AI74" s="9"/>
      <c r="AJ74" s="9"/>
      <c r="AK74" s="9"/>
      <c r="AL74" s="2" t="s">
        <v>967</v>
      </c>
      <c r="AM74" s="5" t="s">
        <v>967</v>
      </c>
      <c r="AN74" s="9">
        <v>101.0</v>
      </c>
      <c r="AO74" s="9"/>
      <c r="AP74" s="9"/>
      <c r="AQ74" s="9"/>
      <c r="AR74" s="9"/>
      <c r="AS74" s="2" t="s">
        <v>123</v>
      </c>
      <c r="AT74" s="2" t="s">
        <v>968</v>
      </c>
      <c r="AU74" s="9">
        <v>402.0</v>
      </c>
      <c r="AV74" s="9"/>
      <c r="AW74" s="9"/>
      <c r="AX74" s="2" t="s">
        <v>969</v>
      </c>
      <c r="AY74" s="1" t="s">
        <v>77</v>
      </c>
      <c r="AZ74" s="1" t="s">
        <v>127</v>
      </c>
      <c r="BA74" s="2" t="s">
        <v>242</v>
      </c>
      <c r="BB74" s="2" t="s">
        <v>970</v>
      </c>
      <c r="BC74" s="1" t="s">
        <v>470</v>
      </c>
    </row>
    <row r="75" ht="15.75" customHeight="1">
      <c r="A75" s="2">
        <f t="shared" si="2"/>
        <v>74</v>
      </c>
      <c r="B75" s="2" t="s">
        <v>971</v>
      </c>
      <c r="C75" s="2" t="s">
        <v>83</v>
      </c>
      <c r="D75" s="2" t="s">
        <v>84</v>
      </c>
      <c r="E75" s="2" t="s">
        <v>972</v>
      </c>
      <c r="F75" s="2" t="s">
        <v>178</v>
      </c>
      <c r="G75" s="2" t="s">
        <v>232</v>
      </c>
      <c r="H75" s="2" t="s">
        <v>310</v>
      </c>
      <c r="I75" s="2" t="s">
        <v>246</v>
      </c>
      <c r="J75" s="2" t="s">
        <v>296</v>
      </c>
      <c r="K75" s="2" t="s">
        <v>149</v>
      </c>
      <c r="L75" s="2" t="s">
        <v>475</v>
      </c>
      <c r="M75" s="1" t="s">
        <v>61</v>
      </c>
      <c r="N75" s="2" t="str">
        <f t="shared" si="1"/>
        <v>Mujer Interior Coalición CM oposicion_cerril</v>
      </c>
      <c r="O75" s="2" t="s">
        <v>88</v>
      </c>
      <c r="P75" s="6" t="s">
        <v>973</v>
      </c>
      <c r="Q75" s="7" t="s">
        <v>134</v>
      </c>
      <c r="R75" s="7"/>
      <c r="S75" s="7"/>
      <c r="T75" s="7"/>
      <c r="U75" s="8" t="s">
        <v>771</v>
      </c>
      <c r="V75" s="8" t="s">
        <v>772</v>
      </c>
      <c r="W75" s="2" t="s">
        <v>88</v>
      </c>
      <c r="X75" s="2" t="s">
        <v>974</v>
      </c>
      <c r="Y75" s="8" t="s">
        <v>194</v>
      </c>
      <c r="Z75" s="8" t="s">
        <v>464</v>
      </c>
      <c r="AA75" s="3" t="s">
        <v>975</v>
      </c>
      <c r="AB75" s="7" t="s">
        <v>285</v>
      </c>
      <c r="AC75" s="7" t="s">
        <v>97</v>
      </c>
      <c r="AD75" s="7"/>
      <c r="AE75" s="2" t="s">
        <v>976</v>
      </c>
      <c r="AF75" s="9">
        <v>201.0</v>
      </c>
      <c r="AG75" s="9">
        <v>101.0</v>
      </c>
      <c r="AH75" s="9">
        <v>204.0</v>
      </c>
      <c r="AI75" s="9">
        <v>202.0</v>
      </c>
      <c r="AJ75" s="9">
        <v>303.0</v>
      </c>
      <c r="AK75" s="9">
        <v>302.0</v>
      </c>
      <c r="AL75" s="2" t="s">
        <v>977</v>
      </c>
      <c r="AM75" s="5" t="s">
        <v>977</v>
      </c>
      <c r="AN75" s="9">
        <v>401.0</v>
      </c>
      <c r="AO75" s="9"/>
      <c r="AP75" s="9"/>
      <c r="AQ75" s="9"/>
      <c r="AR75" s="9"/>
      <c r="AS75" s="2" t="s">
        <v>123</v>
      </c>
      <c r="AT75" s="2" t="s">
        <v>978</v>
      </c>
      <c r="AU75" s="9">
        <v>201.0</v>
      </c>
      <c r="AV75" s="9"/>
      <c r="AW75" s="9"/>
      <c r="AX75" s="2" t="s">
        <v>979</v>
      </c>
      <c r="AY75" s="1" t="s">
        <v>105</v>
      </c>
      <c r="AZ75" s="1" t="s">
        <v>227</v>
      </c>
      <c r="BA75" s="2" t="s">
        <v>174</v>
      </c>
      <c r="BB75" s="2" t="s">
        <v>980</v>
      </c>
      <c r="BC75" s="1" t="s">
        <v>202</v>
      </c>
    </row>
    <row r="76" ht="15.75" customHeight="1">
      <c r="A76" s="2">
        <f t="shared" si="2"/>
        <v>75</v>
      </c>
      <c r="B76" s="2" t="s">
        <v>981</v>
      </c>
      <c r="C76" s="2" t="s">
        <v>109</v>
      </c>
      <c r="D76" s="2" t="s">
        <v>84</v>
      </c>
      <c r="E76" s="2" t="s">
        <v>982</v>
      </c>
      <c r="F76" s="2" t="s">
        <v>500</v>
      </c>
      <c r="G76" s="2" t="s">
        <v>205</v>
      </c>
      <c r="H76" s="2" t="s">
        <v>206</v>
      </c>
      <c r="I76" s="2" t="s">
        <v>246</v>
      </c>
      <c r="J76" s="2" t="s">
        <v>296</v>
      </c>
      <c r="K76" s="2" t="s">
        <v>149</v>
      </c>
      <c r="L76" s="2" t="s">
        <v>409</v>
      </c>
      <c r="M76" s="1" t="s">
        <v>61</v>
      </c>
      <c r="N76" s="2" t="str">
        <f t="shared" si="1"/>
        <v>Mujer Interior Coalición CM dialoguista</v>
      </c>
      <c r="O76" s="2" t="s">
        <v>62</v>
      </c>
      <c r="P76" s="6" t="s">
        <v>983</v>
      </c>
      <c r="Q76" s="7" t="s">
        <v>208</v>
      </c>
      <c r="R76" s="7" t="s">
        <v>462</v>
      </c>
      <c r="S76" s="7"/>
      <c r="T76" s="7"/>
      <c r="U76" s="8" t="s">
        <v>115</v>
      </c>
      <c r="V76" s="8" t="s">
        <v>209</v>
      </c>
      <c r="W76" s="2" t="s">
        <v>67</v>
      </c>
      <c r="X76" s="2" t="s">
        <v>984</v>
      </c>
      <c r="Y76" s="8" t="s">
        <v>194</v>
      </c>
      <c r="Z76" s="8" t="s">
        <v>748</v>
      </c>
      <c r="AA76" s="3" t="s">
        <v>985</v>
      </c>
      <c r="AB76" s="7" t="s">
        <v>155</v>
      </c>
      <c r="AC76" s="7" t="s">
        <v>737</v>
      </c>
      <c r="AD76" s="7" t="s">
        <v>874</v>
      </c>
      <c r="AE76" s="2" t="s">
        <v>986</v>
      </c>
      <c r="AF76" s="9">
        <v>201.0</v>
      </c>
      <c r="AG76" s="9">
        <v>403.0</v>
      </c>
      <c r="AH76" s="9"/>
      <c r="AI76" s="9"/>
      <c r="AJ76" s="9"/>
      <c r="AK76" s="9"/>
      <c r="AL76" s="2" t="s">
        <v>987</v>
      </c>
      <c r="AM76" s="5" t="s">
        <v>987</v>
      </c>
      <c r="AN76" s="9">
        <v>101.0</v>
      </c>
      <c r="AO76" s="9"/>
      <c r="AP76" s="9"/>
      <c r="AQ76" s="9"/>
      <c r="AR76" s="9"/>
      <c r="AS76" s="2" t="s">
        <v>74</v>
      </c>
      <c r="AT76" s="2" t="s">
        <v>988</v>
      </c>
      <c r="AU76" s="9">
        <v>102.0</v>
      </c>
      <c r="AV76" s="9"/>
      <c r="AW76" s="9"/>
      <c r="AX76" s="2" t="s">
        <v>989</v>
      </c>
      <c r="AY76" s="1" t="s">
        <v>105</v>
      </c>
      <c r="AZ76" s="1" t="s">
        <v>187</v>
      </c>
      <c r="BA76" s="2" t="s">
        <v>242</v>
      </c>
      <c r="BB76" s="2" t="s">
        <v>990</v>
      </c>
      <c r="BC76" s="1" t="s">
        <v>432</v>
      </c>
    </row>
    <row r="77" ht="15.75" customHeight="1">
      <c r="A77" s="2">
        <f t="shared" si="2"/>
        <v>76</v>
      </c>
      <c r="B77" s="2" t="s">
        <v>991</v>
      </c>
      <c r="C77" s="2" t="s">
        <v>83</v>
      </c>
      <c r="D77" s="2" t="s">
        <v>54</v>
      </c>
      <c r="E77" s="2" t="s">
        <v>992</v>
      </c>
      <c r="F77" s="2" t="s">
        <v>893</v>
      </c>
      <c r="G77" s="2" t="s">
        <v>111</v>
      </c>
      <c r="H77" s="2" t="s">
        <v>993</v>
      </c>
      <c r="I77" s="2" t="s">
        <v>362</v>
      </c>
      <c r="J77" s="2" t="s">
        <v>296</v>
      </c>
      <c r="K77" s="2" t="s">
        <v>149</v>
      </c>
      <c r="L77" s="2" t="s">
        <v>409</v>
      </c>
      <c r="M77" s="1" t="s">
        <v>61</v>
      </c>
      <c r="N77" s="2" t="str">
        <f t="shared" si="1"/>
        <v>Hombre Interior Coalición CM dialoguista</v>
      </c>
      <c r="O77" s="2" t="s">
        <v>210</v>
      </c>
      <c r="P77" s="6" t="s">
        <v>994</v>
      </c>
      <c r="Q77" s="7" t="s">
        <v>336</v>
      </c>
      <c r="R77" s="7"/>
      <c r="S77" s="7"/>
      <c r="T77" s="7"/>
      <c r="U77" s="8" t="s">
        <v>337</v>
      </c>
      <c r="V77" s="8" t="s">
        <v>995</v>
      </c>
      <c r="W77" s="2" t="s">
        <v>210</v>
      </c>
      <c r="X77" s="2" t="s">
        <v>996</v>
      </c>
      <c r="Y77" s="8" t="s">
        <v>118</v>
      </c>
      <c r="Z77" s="8" t="s">
        <v>119</v>
      </c>
      <c r="AA77" s="3" t="s">
        <v>996</v>
      </c>
      <c r="AB77" s="7" t="s">
        <v>120</v>
      </c>
      <c r="AC77" s="7"/>
      <c r="AD77" s="7"/>
      <c r="AE77" s="2" t="s">
        <v>997</v>
      </c>
      <c r="AF77" s="9">
        <v>503.0</v>
      </c>
      <c r="AG77" s="9"/>
      <c r="AH77" s="9"/>
      <c r="AI77" s="9"/>
      <c r="AJ77" s="9"/>
      <c r="AK77" s="9"/>
      <c r="AL77" s="2" t="s">
        <v>998</v>
      </c>
      <c r="AM77" s="5" t="s">
        <v>998</v>
      </c>
      <c r="AN77" s="9">
        <v>403.0</v>
      </c>
      <c r="AO77" s="9"/>
      <c r="AP77" s="9"/>
      <c r="AQ77" s="9"/>
      <c r="AR77" s="9"/>
      <c r="AS77" s="2" t="s">
        <v>102</v>
      </c>
      <c r="AT77" s="2" t="s">
        <v>999</v>
      </c>
      <c r="AU77" s="9">
        <v>101.0</v>
      </c>
      <c r="AV77" s="9"/>
      <c r="AW77" s="9"/>
      <c r="AX77" s="2" t="s">
        <v>1000</v>
      </c>
      <c r="AY77" s="1" t="s">
        <v>105</v>
      </c>
      <c r="AZ77" s="1" t="s">
        <v>127</v>
      </c>
      <c r="BA77" s="2" t="s">
        <v>174</v>
      </c>
      <c r="BB77" s="2" t="s">
        <v>1001</v>
      </c>
      <c r="BC77" s="1" t="s">
        <v>81</v>
      </c>
    </row>
    <row r="78" ht="15.75" customHeight="1">
      <c r="A78" s="2">
        <f t="shared" si="2"/>
        <v>77</v>
      </c>
      <c r="B78" s="2" t="s">
        <v>1002</v>
      </c>
      <c r="C78" s="2" t="s">
        <v>53</v>
      </c>
      <c r="D78" s="2" t="s">
        <v>84</v>
      </c>
      <c r="E78" s="2" t="s">
        <v>1003</v>
      </c>
      <c r="F78" s="2" t="s">
        <v>893</v>
      </c>
      <c r="G78" s="2" t="s">
        <v>422</v>
      </c>
      <c r="H78" s="2" t="s">
        <v>903</v>
      </c>
      <c r="I78" s="2" t="s">
        <v>627</v>
      </c>
      <c r="J78" s="2" t="s">
        <v>296</v>
      </c>
      <c r="K78" s="2" t="s">
        <v>149</v>
      </c>
      <c r="L78" s="2" t="s">
        <v>409</v>
      </c>
      <c r="M78" s="1" t="s">
        <v>61</v>
      </c>
      <c r="N78" s="2" t="str">
        <f t="shared" si="1"/>
        <v>Mujer Interior Coalición CM dialoguista</v>
      </c>
      <c r="O78" s="2" t="s">
        <v>67</v>
      </c>
      <c r="P78" s="6" t="s">
        <v>1004</v>
      </c>
      <c r="Q78" s="7" t="s">
        <v>165</v>
      </c>
      <c r="R78" s="7"/>
      <c r="S78" s="7"/>
      <c r="T78" s="7"/>
      <c r="U78" s="8" t="s">
        <v>151</v>
      </c>
      <c r="V78" s="8" t="s">
        <v>438</v>
      </c>
      <c r="W78" s="2" t="s">
        <v>67</v>
      </c>
      <c r="X78" s="2" t="s">
        <v>1005</v>
      </c>
      <c r="Y78" s="8" t="s">
        <v>1006</v>
      </c>
      <c r="Z78" s="8" t="s">
        <v>1007</v>
      </c>
      <c r="AA78" s="3" t="s">
        <v>1005</v>
      </c>
      <c r="AB78" s="7" t="s">
        <v>71</v>
      </c>
      <c r="AC78" s="7"/>
      <c r="AD78" s="7"/>
      <c r="AE78" s="2" t="s">
        <v>1008</v>
      </c>
      <c r="AF78" s="9">
        <v>201.0</v>
      </c>
      <c r="AG78" s="9"/>
      <c r="AH78" s="9"/>
      <c r="AI78" s="9"/>
      <c r="AJ78" s="9"/>
      <c r="AK78" s="9"/>
      <c r="AL78" s="2" t="s">
        <v>1009</v>
      </c>
      <c r="AM78" s="5" t="s">
        <v>1009</v>
      </c>
      <c r="AN78" s="9">
        <v>403.0</v>
      </c>
      <c r="AO78" s="9"/>
      <c r="AP78" s="9"/>
      <c r="AQ78" s="9"/>
      <c r="AR78" s="9"/>
      <c r="AS78" s="2" t="s">
        <v>123</v>
      </c>
      <c r="AT78" s="2" t="s">
        <v>1010</v>
      </c>
      <c r="AU78" s="9">
        <v>201.0</v>
      </c>
      <c r="AV78" s="9"/>
      <c r="AW78" s="9"/>
      <c r="AX78" s="2" t="s">
        <v>1011</v>
      </c>
      <c r="AY78" s="1" t="s">
        <v>77</v>
      </c>
      <c r="AZ78" s="1" t="s">
        <v>227</v>
      </c>
      <c r="BA78" s="2" t="s">
        <v>242</v>
      </c>
      <c r="BB78" s="2" t="s">
        <v>1012</v>
      </c>
      <c r="BC78" s="1" t="s">
        <v>432</v>
      </c>
    </row>
    <row r="79" ht="15.75" customHeight="1">
      <c r="A79" s="2">
        <f t="shared" si="2"/>
        <v>78</v>
      </c>
      <c r="B79" s="2" t="s">
        <v>1013</v>
      </c>
      <c r="C79" s="2" t="s">
        <v>83</v>
      </c>
      <c r="D79" s="2" t="s">
        <v>84</v>
      </c>
      <c r="E79" s="2" t="s">
        <v>1014</v>
      </c>
      <c r="F79" s="2" t="s">
        <v>473</v>
      </c>
      <c r="G79" s="2" t="s">
        <v>232</v>
      </c>
      <c r="H79" s="2" t="s">
        <v>1015</v>
      </c>
      <c r="I79" s="2" t="s">
        <v>246</v>
      </c>
      <c r="J79" s="2" t="s">
        <v>296</v>
      </c>
      <c r="K79" s="2" t="s">
        <v>149</v>
      </c>
      <c r="L79" s="2" t="s">
        <v>475</v>
      </c>
      <c r="M79" s="1" t="s">
        <v>61</v>
      </c>
      <c r="N79" s="2" t="str">
        <f t="shared" si="1"/>
        <v>Mujer Interior Coalición CM oposicion_cerril</v>
      </c>
      <c r="O79" s="2" t="s">
        <v>62</v>
      </c>
      <c r="P79" s="6" t="s">
        <v>1016</v>
      </c>
      <c r="Q79" s="7" t="s">
        <v>64</v>
      </c>
      <c r="R79" s="7"/>
      <c r="S79" s="7"/>
      <c r="T79" s="7"/>
      <c r="U79" s="8" t="s">
        <v>248</v>
      </c>
      <c r="V79" s="8" t="s">
        <v>784</v>
      </c>
      <c r="W79" s="2" t="s">
        <v>67</v>
      </c>
      <c r="X79" s="2" t="s">
        <v>1017</v>
      </c>
      <c r="Y79" s="8" t="s">
        <v>69</v>
      </c>
      <c r="Z79" s="8" t="s">
        <v>70</v>
      </c>
      <c r="AA79" s="3" t="s">
        <v>1018</v>
      </c>
      <c r="AB79" s="7" t="s">
        <v>71</v>
      </c>
      <c r="AC79" s="7" t="s">
        <v>285</v>
      </c>
      <c r="AD79" s="7" t="s">
        <v>480</v>
      </c>
      <c r="AE79" s="2" t="s">
        <v>1019</v>
      </c>
      <c r="AF79" s="9">
        <v>203.0</v>
      </c>
      <c r="AG79" s="9">
        <v>201.0</v>
      </c>
      <c r="AH79" s="9">
        <v>302.0</v>
      </c>
      <c r="AI79" s="9"/>
      <c r="AJ79" s="9"/>
      <c r="AK79" s="9"/>
      <c r="AL79" s="2" t="s">
        <v>1020</v>
      </c>
      <c r="AM79" s="5" t="s">
        <v>1021</v>
      </c>
      <c r="AN79" s="9">
        <v>101.0</v>
      </c>
      <c r="AO79" s="9">
        <v>206.0</v>
      </c>
      <c r="AP79" s="9">
        <v>102.0</v>
      </c>
      <c r="AQ79" s="9">
        <v>106.0</v>
      </c>
      <c r="AR79" s="9"/>
      <c r="AS79" s="2" t="s">
        <v>74</v>
      </c>
      <c r="AT79" s="2" t="s">
        <v>1022</v>
      </c>
      <c r="AU79" s="9">
        <v>101.0</v>
      </c>
      <c r="AV79" s="9">
        <v>301.0</v>
      </c>
      <c r="AW79" s="9"/>
      <c r="AX79" s="2" t="s">
        <v>1023</v>
      </c>
      <c r="AY79" s="1" t="s">
        <v>258</v>
      </c>
      <c r="AZ79" s="1" t="s">
        <v>78</v>
      </c>
      <c r="BA79" s="2" t="s">
        <v>79</v>
      </c>
      <c r="BB79" s="2" t="s">
        <v>1024</v>
      </c>
      <c r="BC79" s="1" t="s">
        <v>129</v>
      </c>
    </row>
    <row r="80" ht="15.75" customHeight="1">
      <c r="A80" s="2">
        <f t="shared" si="2"/>
        <v>79</v>
      </c>
      <c r="B80" s="2" t="s">
        <v>1025</v>
      </c>
      <c r="C80" s="2" t="s">
        <v>83</v>
      </c>
      <c r="D80" s="2" t="s">
        <v>84</v>
      </c>
      <c r="E80" s="2" t="s">
        <v>1026</v>
      </c>
      <c r="F80" s="2" t="s">
        <v>294</v>
      </c>
      <c r="G80" s="2" t="s">
        <v>111</v>
      </c>
      <c r="H80" s="2" t="s">
        <v>710</v>
      </c>
      <c r="I80" s="2" t="s">
        <v>59</v>
      </c>
      <c r="J80" s="2" t="s">
        <v>180</v>
      </c>
      <c r="K80" s="2" t="s">
        <v>60</v>
      </c>
      <c r="L80" s="2" t="s">
        <v>409</v>
      </c>
      <c r="M80" s="1" t="s">
        <v>61</v>
      </c>
      <c r="N80" s="2" t="str">
        <f t="shared" si="1"/>
        <v>Mujer Interior Frente Amplio FA dialoguista</v>
      </c>
      <c r="O80" s="2" t="s">
        <v>67</v>
      </c>
      <c r="P80" s="6" t="s">
        <v>1027</v>
      </c>
      <c r="Q80" s="7" t="s">
        <v>165</v>
      </c>
      <c r="R80" s="7"/>
      <c r="S80" s="7"/>
      <c r="T80" s="7"/>
      <c r="U80" s="8" t="s">
        <v>65</v>
      </c>
      <c r="V80" s="8" t="s">
        <v>324</v>
      </c>
      <c r="W80" s="2" t="s">
        <v>67</v>
      </c>
      <c r="X80" s="2" t="s">
        <v>1028</v>
      </c>
      <c r="Y80" s="8" t="s">
        <v>118</v>
      </c>
      <c r="Z80" s="8" t="s">
        <v>536</v>
      </c>
      <c r="AA80" s="3" t="s">
        <v>1028</v>
      </c>
      <c r="AB80" s="7" t="s">
        <v>71</v>
      </c>
      <c r="AC80" s="7"/>
      <c r="AD80" s="7"/>
      <c r="AE80" s="2" t="s">
        <v>1029</v>
      </c>
      <c r="AF80" s="9">
        <v>504.0</v>
      </c>
      <c r="AG80" s="9"/>
      <c r="AH80" s="9"/>
      <c r="AI80" s="9"/>
      <c r="AJ80" s="9"/>
      <c r="AK80" s="9"/>
      <c r="AL80" s="2" t="s">
        <v>1030</v>
      </c>
      <c r="AM80" s="5" t="s">
        <v>1030</v>
      </c>
      <c r="AN80" s="9">
        <v>101.0</v>
      </c>
      <c r="AO80" s="9"/>
      <c r="AP80" s="9"/>
      <c r="AQ80" s="9"/>
      <c r="AR80" s="9"/>
      <c r="AS80" s="2" t="s">
        <v>123</v>
      </c>
      <c r="AT80" s="2" t="s">
        <v>1031</v>
      </c>
      <c r="AU80" s="9">
        <v>201.0</v>
      </c>
      <c r="AV80" s="9"/>
      <c r="AW80" s="9"/>
      <c r="AX80" s="2" t="s">
        <v>1032</v>
      </c>
      <c r="AY80" s="1" t="s">
        <v>105</v>
      </c>
      <c r="AZ80" s="1" t="s">
        <v>227</v>
      </c>
      <c r="BA80" s="2" t="s">
        <v>79</v>
      </c>
      <c r="BB80" s="2" t="s">
        <v>1033</v>
      </c>
      <c r="BC80" s="1" t="s">
        <v>129</v>
      </c>
    </row>
    <row r="81" ht="15.75" customHeight="1">
      <c r="A81" s="2">
        <f t="shared" si="2"/>
        <v>80</v>
      </c>
      <c r="B81" s="2" t="s">
        <v>1034</v>
      </c>
      <c r="C81" s="2" t="s">
        <v>53</v>
      </c>
      <c r="D81" s="2" t="s">
        <v>84</v>
      </c>
      <c r="E81" s="2" t="s">
        <v>1035</v>
      </c>
      <c r="F81" s="2" t="s">
        <v>278</v>
      </c>
      <c r="G81" s="2" t="s">
        <v>57</v>
      </c>
      <c r="H81" s="2" t="s">
        <v>1036</v>
      </c>
      <c r="I81" s="2" t="s">
        <v>59</v>
      </c>
      <c r="J81" s="2" t="s">
        <v>278</v>
      </c>
      <c r="K81" s="2" t="s">
        <v>60</v>
      </c>
      <c r="L81" s="2" t="s">
        <v>374</v>
      </c>
      <c r="M81" s="1" t="s">
        <v>61</v>
      </c>
      <c r="N81" s="2" t="str">
        <f t="shared" si="1"/>
        <v>Mujer Montevideo FA desinformadas</v>
      </c>
      <c r="O81" s="2" t="s">
        <v>88</v>
      </c>
      <c r="P81" s="6" t="s">
        <v>1037</v>
      </c>
      <c r="Q81" s="7" t="s">
        <v>336</v>
      </c>
      <c r="R81" s="7"/>
      <c r="S81" s="7"/>
      <c r="T81" s="7"/>
      <c r="U81" s="8" t="s">
        <v>337</v>
      </c>
      <c r="V81" s="8" t="s">
        <v>338</v>
      </c>
      <c r="W81" s="2" t="s">
        <v>88</v>
      </c>
      <c r="X81" s="2" t="s">
        <v>1038</v>
      </c>
      <c r="Y81" s="8" t="s">
        <v>118</v>
      </c>
      <c r="Z81" s="8" t="s">
        <v>119</v>
      </c>
      <c r="AA81" s="3" t="s">
        <v>1038</v>
      </c>
      <c r="AB81" s="7" t="s">
        <v>120</v>
      </c>
      <c r="AC81" s="7"/>
      <c r="AD81" s="7"/>
      <c r="AE81" s="2" t="s">
        <v>1039</v>
      </c>
      <c r="AF81" s="9">
        <v>503.0</v>
      </c>
      <c r="AG81" s="9"/>
      <c r="AH81" s="9"/>
      <c r="AI81" s="9"/>
      <c r="AJ81" s="9"/>
      <c r="AK81" s="9"/>
      <c r="AL81" s="2" t="s">
        <v>1040</v>
      </c>
      <c r="AM81" s="5" t="s">
        <v>1041</v>
      </c>
      <c r="AN81" s="9">
        <v>403.0</v>
      </c>
      <c r="AO81" s="9"/>
      <c r="AP81" s="9"/>
      <c r="AQ81" s="9"/>
      <c r="AR81" s="9"/>
      <c r="AS81" s="2" t="s">
        <v>123</v>
      </c>
      <c r="AT81" s="2" t="s">
        <v>1042</v>
      </c>
      <c r="AU81" s="9">
        <v>201.0</v>
      </c>
      <c r="AV81" s="9"/>
      <c r="AW81" s="9"/>
      <c r="AX81" s="2" t="s">
        <v>1043</v>
      </c>
      <c r="AY81" s="1" t="s">
        <v>142</v>
      </c>
      <c r="AZ81" s="1" t="s">
        <v>127</v>
      </c>
      <c r="BA81" s="2" t="s">
        <v>79</v>
      </c>
      <c r="BB81" s="2" t="s">
        <v>1044</v>
      </c>
      <c r="BC81" s="1" t="s">
        <v>107</v>
      </c>
    </row>
    <row r="82" ht="15.75" customHeight="1">
      <c r="A82" s="2">
        <f t="shared" si="2"/>
        <v>81</v>
      </c>
      <c r="B82" s="2" t="s">
        <v>1045</v>
      </c>
      <c r="C82" s="2" t="s">
        <v>83</v>
      </c>
      <c r="D82" s="2" t="s">
        <v>54</v>
      </c>
      <c r="E82" s="2" t="s">
        <v>1046</v>
      </c>
      <c r="F82" s="2" t="s">
        <v>278</v>
      </c>
      <c r="G82" s="2" t="s">
        <v>86</v>
      </c>
      <c r="H82" s="2" t="s">
        <v>1047</v>
      </c>
      <c r="I82" s="2" t="s">
        <v>627</v>
      </c>
      <c r="J82" s="2" t="s">
        <v>278</v>
      </c>
      <c r="K82" s="2" t="s">
        <v>149</v>
      </c>
      <c r="L82" s="2" t="s">
        <v>475</v>
      </c>
      <c r="M82" s="1" t="s">
        <v>61</v>
      </c>
      <c r="N82" s="2" t="str">
        <f t="shared" si="1"/>
        <v>Hombre Montevideo CM oposicion_cerril</v>
      </c>
      <c r="O82" s="2" t="s">
        <v>62</v>
      </c>
      <c r="P82" s="6" t="s">
        <v>1048</v>
      </c>
      <c r="Q82" s="7" t="s">
        <v>64</v>
      </c>
      <c r="R82" s="7"/>
      <c r="S82" s="7"/>
      <c r="T82" s="7"/>
      <c r="U82" s="8" t="s">
        <v>248</v>
      </c>
      <c r="V82" s="8" t="s">
        <v>249</v>
      </c>
      <c r="W82" s="2" t="s">
        <v>67</v>
      </c>
      <c r="X82" s="2" t="s">
        <v>1049</v>
      </c>
      <c r="Y82" s="8" t="s">
        <v>94</v>
      </c>
      <c r="Z82" s="8" t="s">
        <v>283</v>
      </c>
      <c r="AA82" s="3" t="s">
        <v>1050</v>
      </c>
      <c r="AB82" s="7" t="s">
        <v>155</v>
      </c>
      <c r="AC82" s="7" t="s">
        <v>71</v>
      </c>
      <c r="AD82" s="7"/>
      <c r="AE82" s="2" t="s">
        <v>1051</v>
      </c>
      <c r="AF82" s="9">
        <v>101.0</v>
      </c>
      <c r="AG82" s="9">
        <v>402.0</v>
      </c>
      <c r="AH82" s="9">
        <v>301.0</v>
      </c>
      <c r="AI82" s="9"/>
      <c r="AJ82" s="9"/>
      <c r="AK82" s="9"/>
      <c r="AL82" s="2" t="s">
        <v>1052</v>
      </c>
      <c r="AM82" s="5" t="s">
        <v>1053</v>
      </c>
      <c r="AN82" s="9">
        <v>301.0</v>
      </c>
      <c r="AO82" s="9"/>
      <c r="AP82" s="9"/>
      <c r="AQ82" s="9"/>
      <c r="AR82" s="9"/>
      <c r="AS82" s="2" t="s">
        <v>102</v>
      </c>
      <c r="AT82" s="2" t="s">
        <v>1054</v>
      </c>
      <c r="AU82" s="9">
        <v>301.0</v>
      </c>
      <c r="AV82" s="9"/>
      <c r="AW82" s="9"/>
      <c r="AX82" s="2" t="s">
        <v>1055</v>
      </c>
      <c r="AY82" s="1" t="s">
        <v>142</v>
      </c>
      <c r="AZ82" s="1" t="s">
        <v>159</v>
      </c>
      <c r="BA82" s="2" t="s">
        <v>242</v>
      </c>
      <c r="BB82" s="2" t="s">
        <v>1056</v>
      </c>
      <c r="BC82" s="1" t="s">
        <v>470</v>
      </c>
    </row>
    <row r="83" ht="15.75" customHeight="1">
      <c r="A83" s="2">
        <f t="shared" si="2"/>
        <v>82</v>
      </c>
      <c r="B83" s="2" t="s">
        <v>108</v>
      </c>
      <c r="C83" s="2" t="s">
        <v>109</v>
      </c>
      <c r="D83" s="2" t="s">
        <v>84</v>
      </c>
      <c r="E83" s="2" t="s">
        <v>1057</v>
      </c>
      <c r="F83" s="2" t="s">
        <v>360</v>
      </c>
      <c r="G83" s="2" t="s">
        <v>111</v>
      </c>
      <c r="H83" s="2" t="s">
        <v>147</v>
      </c>
      <c r="I83" s="2" t="s">
        <v>246</v>
      </c>
      <c r="J83" s="2" t="s">
        <v>296</v>
      </c>
      <c r="K83" s="2" t="s">
        <v>149</v>
      </c>
      <c r="L83" s="2" t="s">
        <v>297</v>
      </c>
      <c r="M83" s="1" t="s">
        <v>61</v>
      </c>
      <c r="N83" s="2" t="str">
        <f t="shared" si="1"/>
        <v>Mujer Interior Coalición CM oposicion_abierta</v>
      </c>
      <c r="O83" s="2" t="s">
        <v>88</v>
      </c>
      <c r="P83" s="6" t="s">
        <v>1058</v>
      </c>
      <c r="Q83" s="7" t="s">
        <v>64</v>
      </c>
      <c r="R83" s="7"/>
      <c r="S83" s="7"/>
      <c r="T83" s="7"/>
      <c r="U83" s="8" t="s">
        <v>248</v>
      </c>
      <c r="V83" s="8" t="s">
        <v>784</v>
      </c>
      <c r="W83" s="2" t="s">
        <v>67</v>
      </c>
      <c r="X83" s="2" t="s">
        <v>1059</v>
      </c>
      <c r="Y83" s="8" t="s">
        <v>194</v>
      </c>
      <c r="Z83" s="8" t="s">
        <v>748</v>
      </c>
      <c r="AA83" s="3" t="s">
        <v>1059</v>
      </c>
      <c r="AB83" s="7" t="s">
        <v>737</v>
      </c>
      <c r="AC83" s="7"/>
      <c r="AD83" s="7"/>
      <c r="AE83" s="2" t="s">
        <v>1060</v>
      </c>
      <c r="AF83" s="9">
        <v>301.0</v>
      </c>
      <c r="AG83" s="9"/>
      <c r="AH83" s="9"/>
      <c r="AI83" s="9"/>
      <c r="AJ83" s="9"/>
      <c r="AK83" s="9"/>
      <c r="AL83" s="2" t="s">
        <v>1061</v>
      </c>
      <c r="AM83" s="5" t="s">
        <v>1061</v>
      </c>
      <c r="AN83" s="9">
        <v>101.0</v>
      </c>
      <c r="AO83" s="9"/>
      <c r="AP83" s="9"/>
      <c r="AQ83" s="9"/>
      <c r="AR83" s="9"/>
      <c r="AS83" s="2" t="s">
        <v>123</v>
      </c>
      <c r="AT83" s="2" t="s">
        <v>1062</v>
      </c>
      <c r="AU83" s="9">
        <v>201.0</v>
      </c>
      <c r="AV83" s="9">
        <v>301.0</v>
      </c>
      <c r="AW83" s="9"/>
      <c r="AX83" s="2" t="s">
        <v>1063</v>
      </c>
      <c r="AY83" s="1" t="s">
        <v>105</v>
      </c>
      <c r="AZ83" s="1" t="s">
        <v>127</v>
      </c>
      <c r="BA83" s="2" t="s">
        <v>242</v>
      </c>
      <c r="BB83" s="2" t="s">
        <v>1064</v>
      </c>
      <c r="BC83" s="1" t="s">
        <v>129</v>
      </c>
    </row>
    <row r="84" ht="15.75" customHeight="1">
      <c r="A84" s="2">
        <f t="shared" si="2"/>
        <v>83</v>
      </c>
      <c r="B84" s="2" t="s">
        <v>1065</v>
      </c>
      <c r="C84" s="2" t="s">
        <v>53</v>
      </c>
      <c r="D84" s="2" t="s">
        <v>54</v>
      </c>
      <c r="E84" s="2" t="s">
        <v>1066</v>
      </c>
      <c r="F84" s="2" t="s">
        <v>582</v>
      </c>
      <c r="G84" s="2" t="s">
        <v>86</v>
      </c>
      <c r="H84" s="2" t="s">
        <v>1036</v>
      </c>
      <c r="I84" s="2" t="s">
        <v>362</v>
      </c>
      <c r="J84" s="2" t="s">
        <v>296</v>
      </c>
      <c r="K84" s="2" t="s">
        <v>149</v>
      </c>
      <c r="L84" s="2" t="s">
        <v>374</v>
      </c>
      <c r="M84" s="1" t="s">
        <v>61</v>
      </c>
      <c r="N84" s="2" t="str">
        <f t="shared" si="1"/>
        <v>Hombre Interior Coalición CM desinformadas</v>
      </c>
      <c r="O84" s="2" t="s">
        <v>88</v>
      </c>
      <c r="P84" s="6" t="s">
        <v>1067</v>
      </c>
      <c r="Q84" s="7" t="s">
        <v>558</v>
      </c>
      <c r="R84" s="7" t="s">
        <v>299</v>
      </c>
      <c r="S84" s="7"/>
      <c r="T84" s="7"/>
      <c r="U84" s="8" t="s">
        <v>533</v>
      </c>
      <c r="V84" s="8" t="s">
        <v>534</v>
      </c>
      <c r="W84" s="2" t="s">
        <v>210</v>
      </c>
      <c r="X84" s="2" t="s">
        <v>1068</v>
      </c>
      <c r="Y84" s="8" t="s">
        <v>266</v>
      </c>
      <c r="Z84" s="8" t="s">
        <v>1069</v>
      </c>
      <c r="AA84" s="3" t="s">
        <v>1070</v>
      </c>
      <c r="AB84" s="7" t="s">
        <v>270</v>
      </c>
      <c r="AC84" s="7" t="s">
        <v>196</v>
      </c>
      <c r="AD84" s="7"/>
      <c r="AE84" s="2" t="s">
        <v>1071</v>
      </c>
      <c r="AF84" s="9">
        <v>101.0</v>
      </c>
      <c r="AG84" s="9"/>
      <c r="AH84" s="9"/>
      <c r="AI84" s="9"/>
      <c r="AJ84" s="9"/>
      <c r="AK84" s="9"/>
      <c r="AL84" s="2" t="s">
        <v>1072</v>
      </c>
      <c r="AM84" s="5" t="s">
        <v>1073</v>
      </c>
      <c r="AN84" s="9">
        <v>403.0</v>
      </c>
      <c r="AO84" s="9"/>
      <c r="AP84" s="9"/>
      <c r="AQ84" s="9"/>
      <c r="AR84" s="9"/>
      <c r="AS84" s="2" t="s">
        <v>102</v>
      </c>
      <c r="AT84" s="2" t="s">
        <v>1074</v>
      </c>
      <c r="AU84" s="9">
        <v>101.0</v>
      </c>
      <c r="AV84" s="9"/>
      <c r="AW84" s="9"/>
      <c r="AX84" s="2" t="s">
        <v>1075</v>
      </c>
      <c r="AY84" s="1" t="s">
        <v>105</v>
      </c>
      <c r="AZ84" s="1" t="s">
        <v>127</v>
      </c>
      <c r="BA84" s="2" t="s">
        <v>79</v>
      </c>
      <c r="BB84" s="2" t="s">
        <v>1076</v>
      </c>
      <c r="BC84" s="1" t="s">
        <v>432</v>
      </c>
    </row>
    <row r="85" ht="15.75" customHeight="1">
      <c r="A85" s="2">
        <f t="shared" si="2"/>
        <v>84</v>
      </c>
      <c r="B85" s="2" t="s">
        <v>590</v>
      </c>
      <c r="C85" s="2" t="s">
        <v>83</v>
      </c>
      <c r="D85" s="2" t="s">
        <v>84</v>
      </c>
      <c r="E85" s="2" t="s">
        <v>1077</v>
      </c>
      <c r="F85" s="2" t="s">
        <v>950</v>
      </c>
      <c r="G85" s="2" t="s">
        <v>111</v>
      </c>
      <c r="H85" s="2" t="s">
        <v>1078</v>
      </c>
      <c r="I85" s="2" t="s">
        <v>246</v>
      </c>
      <c r="J85" s="2" t="s">
        <v>296</v>
      </c>
      <c r="K85" s="2" t="s">
        <v>149</v>
      </c>
      <c r="L85" s="2" t="s">
        <v>280</v>
      </c>
      <c r="M85" s="1" t="s">
        <v>61</v>
      </c>
      <c r="N85" s="2" t="str">
        <f t="shared" si="1"/>
        <v>Mujer Interior Coalición CM oficialista_abierto</v>
      </c>
      <c r="O85" s="2" t="s">
        <v>62</v>
      </c>
      <c r="P85" s="6" t="s">
        <v>1079</v>
      </c>
      <c r="Q85" s="7" t="s">
        <v>208</v>
      </c>
      <c r="R85" s="7"/>
      <c r="S85" s="7"/>
      <c r="T85" s="7"/>
      <c r="U85" s="8" t="s">
        <v>115</v>
      </c>
      <c r="V85" s="8" t="s">
        <v>209</v>
      </c>
      <c r="W85" s="2" t="s">
        <v>67</v>
      </c>
      <c r="X85" s="2" t="s">
        <v>1080</v>
      </c>
      <c r="Y85" s="8" t="s">
        <v>118</v>
      </c>
      <c r="Z85" s="8" t="s">
        <v>536</v>
      </c>
      <c r="AA85" s="3" t="s">
        <v>1080</v>
      </c>
      <c r="AB85" s="7" t="s">
        <v>155</v>
      </c>
      <c r="AC85" s="7"/>
      <c r="AD85" s="7"/>
      <c r="AE85" s="2" t="s">
        <v>1081</v>
      </c>
      <c r="AF85" s="9">
        <v>202.0</v>
      </c>
      <c r="AG85" s="9"/>
      <c r="AH85" s="9"/>
      <c r="AI85" s="9"/>
      <c r="AJ85" s="9"/>
      <c r="AK85" s="9"/>
      <c r="AL85" s="2" t="s">
        <v>739</v>
      </c>
      <c r="AM85" s="5" t="s">
        <v>739</v>
      </c>
      <c r="AN85" s="9">
        <v>101.0</v>
      </c>
      <c r="AO85" s="9"/>
      <c r="AP85" s="9"/>
      <c r="AQ85" s="9"/>
      <c r="AR85" s="9"/>
      <c r="AS85" s="2" t="s">
        <v>123</v>
      </c>
      <c r="AT85" s="2" t="s">
        <v>1082</v>
      </c>
      <c r="AU85" s="9">
        <v>201.0</v>
      </c>
      <c r="AV85" s="9"/>
      <c r="AW85" s="9"/>
      <c r="AX85" s="2" t="s">
        <v>1083</v>
      </c>
      <c r="AY85" s="1" t="s">
        <v>258</v>
      </c>
      <c r="AZ85" s="1" t="s">
        <v>129</v>
      </c>
      <c r="BA85" s="2" t="s">
        <v>79</v>
      </c>
      <c r="BB85" s="2" t="s">
        <v>1084</v>
      </c>
      <c r="BC85" s="1" t="s">
        <v>81</v>
      </c>
    </row>
    <row r="86" ht="15.75" customHeight="1">
      <c r="A86" s="2">
        <f t="shared" si="2"/>
        <v>85</v>
      </c>
      <c r="B86" s="2" t="s">
        <v>1085</v>
      </c>
      <c r="C86" s="2" t="s">
        <v>83</v>
      </c>
      <c r="D86" s="2" t="s">
        <v>84</v>
      </c>
      <c r="E86" s="2" t="s">
        <v>1086</v>
      </c>
      <c r="F86" s="2" t="s">
        <v>278</v>
      </c>
      <c r="G86" s="2" t="s">
        <v>205</v>
      </c>
      <c r="H86" s="2" t="s">
        <v>583</v>
      </c>
      <c r="I86" s="2" t="s">
        <v>59</v>
      </c>
      <c r="J86" s="2" t="s">
        <v>278</v>
      </c>
      <c r="K86" s="2" t="s">
        <v>60</v>
      </c>
      <c r="L86" s="2" t="s">
        <v>280</v>
      </c>
      <c r="M86" s="1" t="s">
        <v>61</v>
      </c>
      <c r="N86" s="2" t="str">
        <f t="shared" si="1"/>
        <v>Mujer Montevideo FA oficialista_abierto</v>
      </c>
      <c r="O86" s="2" t="s">
        <v>88</v>
      </c>
      <c r="P86" s="6" t="s">
        <v>1087</v>
      </c>
      <c r="Q86" s="7" t="s">
        <v>134</v>
      </c>
      <c r="R86" s="7" t="s">
        <v>165</v>
      </c>
      <c r="S86" s="7"/>
      <c r="T86" s="7"/>
      <c r="U86" s="8" t="s">
        <v>135</v>
      </c>
      <c r="V86" s="8" t="s">
        <v>411</v>
      </c>
      <c r="W86" s="2" t="s">
        <v>62</v>
      </c>
      <c r="X86" s="2" t="s">
        <v>1088</v>
      </c>
      <c r="Y86" s="8" t="s">
        <v>69</v>
      </c>
      <c r="Z86" s="8" t="s">
        <v>236</v>
      </c>
      <c r="AA86" s="3" t="s">
        <v>1089</v>
      </c>
      <c r="AB86" s="7" t="s">
        <v>237</v>
      </c>
      <c r="AC86" s="7" t="s">
        <v>285</v>
      </c>
      <c r="AD86" s="7"/>
      <c r="AE86" s="2" t="s">
        <v>1090</v>
      </c>
      <c r="AF86" s="9">
        <v>505.0</v>
      </c>
      <c r="AG86" s="9">
        <v>301.0</v>
      </c>
      <c r="AH86" s="9">
        <v>404.0</v>
      </c>
      <c r="AI86" s="9">
        <v>201.0</v>
      </c>
      <c r="AJ86" s="9"/>
      <c r="AK86" s="9"/>
      <c r="AL86" s="2" t="s">
        <v>1091</v>
      </c>
      <c r="AM86" s="5" t="s">
        <v>1092</v>
      </c>
      <c r="AN86" s="9">
        <v>204.0</v>
      </c>
      <c r="AO86" s="9">
        <v>203.0</v>
      </c>
      <c r="AP86" s="9">
        <v>205.0</v>
      </c>
      <c r="AQ86" s="9">
        <v>206.0</v>
      </c>
      <c r="AR86" s="9">
        <v>104.0</v>
      </c>
      <c r="AS86" s="2" t="s">
        <v>123</v>
      </c>
      <c r="AT86" s="2" t="s">
        <v>1093</v>
      </c>
      <c r="AU86" s="9">
        <v>402.0</v>
      </c>
      <c r="AV86" s="9">
        <v>101.0</v>
      </c>
      <c r="AW86" s="9"/>
      <c r="AX86" s="2" t="s">
        <v>1094</v>
      </c>
      <c r="AY86" s="1" t="s">
        <v>105</v>
      </c>
      <c r="AZ86" s="1" t="s">
        <v>78</v>
      </c>
      <c r="BA86" s="2" t="s">
        <v>242</v>
      </c>
      <c r="BB86" s="2" t="s">
        <v>1095</v>
      </c>
      <c r="BC86" s="1" t="s">
        <v>202</v>
      </c>
    </row>
    <row r="87" ht="15.75" customHeight="1">
      <c r="A87" s="2">
        <f t="shared" si="2"/>
        <v>86</v>
      </c>
      <c r="B87" s="2" t="s">
        <v>1096</v>
      </c>
      <c r="C87" s="2" t="s">
        <v>83</v>
      </c>
      <c r="D87" s="2" t="s">
        <v>54</v>
      </c>
      <c r="E87" s="2" t="s">
        <v>1097</v>
      </c>
      <c r="F87" s="2" t="s">
        <v>278</v>
      </c>
      <c r="G87" s="2" t="s">
        <v>111</v>
      </c>
      <c r="H87" s="2" t="s">
        <v>1098</v>
      </c>
      <c r="I87" s="2" t="s">
        <v>59</v>
      </c>
      <c r="J87" s="2" t="s">
        <v>278</v>
      </c>
      <c r="K87" s="2" t="s">
        <v>60</v>
      </c>
      <c r="L87" s="2" t="s">
        <v>280</v>
      </c>
      <c r="M87" s="1" t="s">
        <v>61</v>
      </c>
      <c r="N87" s="2" t="str">
        <f t="shared" si="1"/>
        <v>Hombre Montevideo FA oficialista_abierto</v>
      </c>
      <c r="O87" s="2" t="s">
        <v>67</v>
      </c>
      <c r="P87" s="6" t="s">
        <v>1099</v>
      </c>
      <c r="Q87" s="7" t="s">
        <v>114</v>
      </c>
      <c r="R87" s="7" t="s">
        <v>134</v>
      </c>
      <c r="S87" s="7"/>
      <c r="T87" s="7"/>
      <c r="U87" s="8" t="s">
        <v>771</v>
      </c>
      <c r="V87" s="8" t="s">
        <v>905</v>
      </c>
      <c r="W87" s="2" t="s">
        <v>62</v>
      </c>
      <c r="X87" s="2" t="s">
        <v>1100</v>
      </c>
      <c r="Y87" s="8" t="s">
        <v>194</v>
      </c>
      <c r="Z87" s="8" t="s">
        <v>212</v>
      </c>
      <c r="AA87" s="3" t="s">
        <v>1100</v>
      </c>
      <c r="AB87" s="7" t="s">
        <v>214</v>
      </c>
      <c r="AC87" s="7" t="s">
        <v>270</v>
      </c>
      <c r="AD87" s="7"/>
      <c r="AE87" s="2" t="s">
        <v>1101</v>
      </c>
      <c r="AF87" s="9">
        <v>403.0</v>
      </c>
      <c r="AG87" s="9">
        <v>501.0</v>
      </c>
      <c r="AH87" s="9"/>
      <c r="AI87" s="9"/>
      <c r="AJ87" s="9"/>
      <c r="AK87" s="9"/>
      <c r="AL87" s="2" t="s">
        <v>1102</v>
      </c>
      <c r="AM87" s="5" t="s">
        <v>1103</v>
      </c>
      <c r="AN87" s="9">
        <v>105.0</v>
      </c>
      <c r="AO87" s="9"/>
      <c r="AP87" s="9"/>
      <c r="AQ87" s="9"/>
      <c r="AR87" s="9"/>
      <c r="AS87" s="2" t="s">
        <v>123</v>
      </c>
      <c r="AT87" s="2" t="s">
        <v>1104</v>
      </c>
      <c r="AU87" s="9">
        <v>203.0</v>
      </c>
      <c r="AV87" s="9"/>
      <c r="AW87" s="9"/>
      <c r="AX87" s="2" t="s">
        <v>1105</v>
      </c>
      <c r="AY87" s="1" t="s">
        <v>105</v>
      </c>
      <c r="AZ87" s="1" t="s">
        <v>78</v>
      </c>
      <c r="BA87" s="2" t="s">
        <v>242</v>
      </c>
      <c r="BB87" s="2" t="s">
        <v>1106</v>
      </c>
      <c r="BC87" s="1" t="s">
        <v>202</v>
      </c>
    </row>
    <row r="88" ht="15.75" customHeight="1">
      <c r="A88" s="2">
        <f t="shared" si="2"/>
        <v>87</v>
      </c>
      <c r="B88" s="2" t="s">
        <v>1107</v>
      </c>
      <c r="C88" s="2" t="s">
        <v>83</v>
      </c>
      <c r="D88" s="2" t="s">
        <v>84</v>
      </c>
      <c r="E88" s="2" t="s">
        <v>1108</v>
      </c>
      <c r="F88" s="2" t="s">
        <v>1109</v>
      </c>
      <c r="G88" s="2" t="s">
        <v>205</v>
      </c>
      <c r="H88" s="2" t="s">
        <v>310</v>
      </c>
      <c r="I88" s="2" t="s">
        <v>59</v>
      </c>
      <c r="J88" s="2" t="s">
        <v>180</v>
      </c>
      <c r="K88" s="2" t="s">
        <v>60</v>
      </c>
      <c r="L88" s="2" t="s">
        <v>311</v>
      </c>
      <c r="M88" s="1" t="s">
        <v>61</v>
      </c>
      <c r="N88" s="2" t="str">
        <f t="shared" si="1"/>
        <v>Mujer Interior Frente Amplio FA oficialista_acerrimo</v>
      </c>
      <c r="O88" s="2" t="s">
        <v>88</v>
      </c>
      <c r="P88" s="6" t="s">
        <v>1110</v>
      </c>
      <c r="Q88" s="7" t="s">
        <v>64</v>
      </c>
      <c r="R88" s="7" t="s">
        <v>558</v>
      </c>
      <c r="S88" s="7"/>
      <c r="T88" s="7"/>
      <c r="U88" s="8" t="s">
        <v>91</v>
      </c>
      <c r="V88" s="8" t="s">
        <v>192</v>
      </c>
      <c r="W88" s="2" t="s">
        <v>62</v>
      </c>
      <c r="X88" s="2" t="s">
        <v>1111</v>
      </c>
      <c r="Y88" s="8" t="s">
        <v>266</v>
      </c>
      <c r="Z88" s="8" t="s">
        <v>1069</v>
      </c>
      <c r="AA88" s="3" t="s">
        <v>1111</v>
      </c>
      <c r="AB88" s="7" t="s">
        <v>270</v>
      </c>
      <c r="AC88" s="7"/>
      <c r="AD88" s="7"/>
      <c r="AE88" s="2" t="s">
        <v>1112</v>
      </c>
      <c r="AF88" s="9">
        <v>301.0</v>
      </c>
      <c r="AG88" s="9">
        <v>201.0</v>
      </c>
      <c r="AH88" s="9"/>
      <c r="AI88" s="9"/>
      <c r="AJ88" s="9"/>
      <c r="AK88" s="9"/>
      <c r="AL88" s="2" t="s">
        <v>1113</v>
      </c>
      <c r="AM88" s="5" t="s">
        <v>1113</v>
      </c>
      <c r="AN88" s="9">
        <v>403.0</v>
      </c>
      <c r="AO88" s="9"/>
      <c r="AP88" s="9"/>
      <c r="AQ88" s="9"/>
      <c r="AR88" s="9"/>
      <c r="AS88" s="2" t="s">
        <v>74</v>
      </c>
      <c r="AT88" s="2" t="s">
        <v>1114</v>
      </c>
      <c r="AU88" s="9">
        <v>102.0</v>
      </c>
      <c r="AV88" s="9"/>
      <c r="AW88" s="9"/>
      <c r="AX88" s="2" t="s">
        <v>1115</v>
      </c>
      <c r="AY88" s="1" t="s">
        <v>258</v>
      </c>
      <c r="AZ88" s="1" t="s">
        <v>187</v>
      </c>
      <c r="BA88" s="2" t="s">
        <v>174</v>
      </c>
      <c r="BB88" s="2" t="s">
        <v>1116</v>
      </c>
      <c r="BC88" s="1" t="s">
        <v>107</v>
      </c>
    </row>
    <row r="89" ht="15.75" customHeight="1">
      <c r="A89" s="2">
        <f t="shared" si="2"/>
        <v>88</v>
      </c>
      <c r="B89" s="2" t="s">
        <v>1117</v>
      </c>
      <c r="C89" s="2" t="s">
        <v>109</v>
      </c>
      <c r="D89" s="2" t="s">
        <v>54</v>
      </c>
      <c r="E89" s="2" t="s">
        <v>1118</v>
      </c>
      <c r="F89" s="2" t="s">
        <v>278</v>
      </c>
      <c r="G89" s="2" t="s">
        <v>422</v>
      </c>
      <c r="I89" s="2" t="s">
        <v>59</v>
      </c>
      <c r="J89" s="2" t="s">
        <v>278</v>
      </c>
      <c r="K89" s="2" t="s">
        <v>60</v>
      </c>
      <c r="L89" s="2" t="s">
        <v>311</v>
      </c>
      <c r="M89" s="1" t="s">
        <v>61</v>
      </c>
      <c r="N89" s="2" t="str">
        <f t="shared" si="1"/>
        <v>Hombre Montevideo FA oficialista_acerrimo</v>
      </c>
      <c r="O89" s="2" t="s">
        <v>67</v>
      </c>
      <c r="P89" s="6" t="s">
        <v>1119</v>
      </c>
      <c r="Q89" s="7" t="s">
        <v>165</v>
      </c>
      <c r="R89" s="7" t="s">
        <v>114</v>
      </c>
      <c r="S89" s="7"/>
      <c r="T89" s="7"/>
      <c r="U89" s="8" t="s">
        <v>115</v>
      </c>
      <c r="V89" s="8" t="s">
        <v>116</v>
      </c>
      <c r="W89" s="2" t="s">
        <v>62</v>
      </c>
      <c r="X89" s="2" t="s">
        <v>1120</v>
      </c>
      <c r="Y89" s="8" t="s">
        <v>69</v>
      </c>
      <c r="Z89" s="8" t="s">
        <v>236</v>
      </c>
      <c r="AA89" s="3" t="s">
        <v>1121</v>
      </c>
      <c r="AB89" s="7" t="s">
        <v>237</v>
      </c>
      <c r="AC89" s="7" t="s">
        <v>214</v>
      </c>
      <c r="AD89" s="7"/>
      <c r="AE89" s="2" t="s">
        <v>1122</v>
      </c>
      <c r="AF89" s="9">
        <v>201.0</v>
      </c>
      <c r="AG89" s="9">
        <v>304.0</v>
      </c>
      <c r="AH89" s="9">
        <v>303.0</v>
      </c>
      <c r="AI89" s="9"/>
      <c r="AJ89" s="9"/>
      <c r="AK89" s="9"/>
      <c r="AL89" s="2" t="s">
        <v>1123</v>
      </c>
      <c r="AM89" s="5" t="s">
        <v>1124</v>
      </c>
      <c r="AN89" s="9">
        <v>401.0</v>
      </c>
      <c r="AO89" s="9"/>
      <c r="AP89" s="9"/>
      <c r="AQ89" s="9"/>
      <c r="AR89" s="9"/>
      <c r="AS89" s="2" t="s">
        <v>123</v>
      </c>
      <c r="AT89" s="2" t="s">
        <v>1125</v>
      </c>
      <c r="AU89" s="9">
        <v>202.0</v>
      </c>
      <c r="AV89" s="9">
        <v>204.0</v>
      </c>
      <c r="AW89" s="9"/>
      <c r="AX89" s="2" t="s">
        <v>1126</v>
      </c>
      <c r="AY89" s="1" t="s">
        <v>126</v>
      </c>
      <c r="AZ89" s="1" t="s">
        <v>129</v>
      </c>
      <c r="BA89" s="2" t="s">
        <v>79</v>
      </c>
      <c r="BB89" s="2" t="s">
        <v>1127</v>
      </c>
      <c r="BC89" s="1" t="s">
        <v>470</v>
      </c>
    </row>
    <row r="90" ht="15.75" customHeight="1">
      <c r="A90" s="2">
        <f t="shared" si="2"/>
        <v>89</v>
      </c>
      <c r="B90" s="2" t="s">
        <v>1128</v>
      </c>
      <c r="C90" s="2" t="s">
        <v>53</v>
      </c>
      <c r="D90" s="2" t="s">
        <v>84</v>
      </c>
      <c r="E90" s="2" t="s">
        <v>1129</v>
      </c>
      <c r="F90" s="2" t="s">
        <v>544</v>
      </c>
      <c r="G90" s="2" t="s">
        <v>86</v>
      </c>
      <c r="H90" s="2" t="s">
        <v>1036</v>
      </c>
      <c r="I90" s="2" t="s">
        <v>59</v>
      </c>
      <c r="J90" s="2" t="s">
        <v>180</v>
      </c>
      <c r="K90" s="2" t="s">
        <v>60</v>
      </c>
      <c r="L90" s="2" t="s">
        <v>409</v>
      </c>
      <c r="M90" s="1" t="s">
        <v>61</v>
      </c>
      <c r="N90" s="2" t="str">
        <f t="shared" si="1"/>
        <v>Mujer Interior Frente Amplio FA dialoguista</v>
      </c>
      <c r="O90" s="2" t="s">
        <v>62</v>
      </c>
      <c r="P90" s="6" t="s">
        <v>1130</v>
      </c>
      <c r="Q90" s="7" t="s">
        <v>64</v>
      </c>
      <c r="R90" s="7"/>
      <c r="S90" s="7"/>
      <c r="T90" s="7"/>
      <c r="U90" s="8" t="s">
        <v>248</v>
      </c>
      <c r="V90" s="8" t="s">
        <v>784</v>
      </c>
      <c r="W90" s="2" t="s">
        <v>67</v>
      </c>
      <c r="X90" s="2" t="s">
        <v>1131</v>
      </c>
      <c r="Y90" s="8" t="s">
        <v>251</v>
      </c>
      <c r="Z90" s="8" t="s">
        <v>252</v>
      </c>
      <c r="AA90" s="3" t="s">
        <v>1132</v>
      </c>
      <c r="AB90" s="7" t="s">
        <v>71</v>
      </c>
      <c r="AC90" s="7" t="s">
        <v>285</v>
      </c>
      <c r="AD90" s="7" t="s">
        <v>1133</v>
      </c>
      <c r="AE90" s="2" t="s">
        <v>1134</v>
      </c>
      <c r="AF90" s="9">
        <v>402.0</v>
      </c>
      <c r="AG90" s="9"/>
      <c r="AH90" s="9"/>
      <c r="AI90" s="9"/>
      <c r="AJ90" s="9"/>
      <c r="AK90" s="9"/>
      <c r="AL90" s="2" t="s">
        <v>1135</v>
      </c>
      <c r="AM90" s="5" t="s">
        <v>1136</v>
      </c>
      <c r="AN90" s="9">
        <v>403.0</v>
      </c>
      <c r="AO90" s="9"/>
      <c r="AP90" s="9"/>
      <c r="AQ90" s="9"/>
      <c r="AR90" s="9"/>
      <c r="AS90" s="2" t="s">
        <v>123</v>
      </c>
      <c r="AT90" s="2" t="s">
        <v>1137</v>
      </c>
      <c r="AU90" s="9">
        <v>203.0</v>
      </c>
      <c r="AV90" s="9">
        <v>101.0</v>
      </c>
      <c r="AW90" s="9"/>
      <c r="AX90" s="2" t="s">
        <v>1138</v>
      </c>
      <c r="AY90" s="1" t="s">
        <v>126</v>
      </c>
      <c r="AZ90" s="1" t="s">
        <v>227</v>
      </c>
      <c r="BA90" s="2" t="s">
        <v>79</v>
      </c>
      <c r="BB90" s="2" t="s">
        <v>1139</v>
      </c>
      <c r="BC90" s="1" t="s">
        <v>144</v>
      </c>
    </row>
    <row r="91" ht="15.75" customHeight="1">
      <c r="A91" s="2">
        <f t="shared" si="2"/>
        <v>90</v>
      </c>
      <c r="B91" s="2" t="s">
        <v>1140</v>
      </c>
      <c r="C91" s="2" t="s">
        <v>83</v>
      </c>
      <c r="D91" s="2" t="s">
        <v>84</v>
      </c>
      <c r="E91" s="2" t="s">
        <v>1141</v>
      </c>
      <c r="F91" s="2" t="s">
        <v>278</v>
      </c>
      <c r="G91" s="2" t="s">
        <v>205</v>
      </c>
      <c r="H91" s="2" t="s">
        <v>1142</v>
      </c>
      <c r="I91" s="2" t="s">
        <v>59</v>
      </c>
      <c r="J91" s="2" t="s">
        <v>278</v>
      </c>
      <c r="K91" s="2" t="s">
        <v>60</v>
      </c>
      <c r="L91" s="2" t="s">
        <v>311</v>
      </c>
      <c r="M91" s="1" t="s">
        <v>61</v>
      </c>
      <c r="N91" s="2" t="str">
        <f t="shared" si="1"/>
        <v>Mujer Montevideo FA oficialista_acerrimo</v>
      </c>
      <c r="O91" s="2" t="s">
        <v>67</v>
      </c>
      <c r="P91" s="6" t="s">
        <v>1143</v>
      </c>
      <c r="Q91" s="7" t="s">
        <v>114</v>
      </c>
      <c r="R91" s="7"/>
      <c r="S91" s="7"/>
      <c r="T91" s="7"/>
      <c r="U91" s="8" t="s">
        <v>115</v>
      </c>
      <c r="V91" s="8" t="s">
        <v>116</v>
      </c>
      <c r="W91" s="2" t="s">
        <v>88</v>
      </c>
      <c r="X91" s="2" t="s">
        <v>1144</v>
      </c>
      <c r="Y91" s="8" t="s">
        <v>194</v>
      </c>
      <c r="Z91" s="8" t="s">
        <v>212</v>
      </c>
      <c r="AA91" s="3" t="s">
        <v>1144</v>
      </c>
      <c r="AB91" s="7" t="s">
        <v>214</v>
      </c>
      <c r="AC91" s="7"/>
      <c r="AD91" s="7"/>
      <c r="AE91" s="2" t="s">
        <v>1145</v>
      </c>
      <c r="AF91" s="9">
        <v>201.0</v>
      </c>
      <c r="AG91" s="9"/>
      <c r="AH91" s="9"/>
      <c r="AI91" s="9"/>
      <c r="AJ91" s="9"/>
      <c r="AK91" s="9"/>
      <c r="AL91" s="2" t="s">
        <v>1146</v>
      </c>
      <c r="AM91" s="5" t="s">
        <v>1146</v>
      </c>
      <c r="AN91" s="9">
        <v>401.0</v>
      </c>
      <c r="AO91" s="9"/>
      <c r="AP91" s="9"/>
      <c r="AQ91" s="9"/>
      <c r="AR91" s="9"/>
      <c r="AS91" s="2" t="s">
        <v>102</v>
      </c>
      <c r="AT91" s="2" t="s">
        <v>1147</v>
      </c>
      <c r="AU91" s="9">
        <v>402.0</v>
      </c>
      <c r="AV91" s="9"/>
      <c r="AW91" s="9"/>
      <c r="AX91" s="2" t="s">
        <v>1148</v>
      </c>
      <c r="AY91" s="1" t="s">
        <v>105</v>
      </c>
      <c r="AZ91" s="1" t="s">
        <v>127</v>
      </c>
      <c r="BA91" s="2" t="s">
        <v>242</v>
      </c>
      <c r="BB91" s="2" t="s">
        <v>1149</v>
      </c>
      <c r="BC91" s="1" t="s">
        <v>161</v>
      </c>
    </row>
    <row r="92" ht="15.75" customHeight="1">
      <c r="A92" s="2">
        <f t="shared" si="2"/>
        <v>91</v>
      </c>
      <c r="B92" s="2" t="s">
        <v>1150</v>
      </c>
      <c r="C92" s="2" t="s">
        <v>109</v>
      </c>
      <c r="D92" s="2" t="s">
        <v>54</v>
      </c>
      <c r="E92" s="2" t="s">
        <v>1151</v>
      </c>
      <c r="F92" s="2" t="s">
        <v>278</v>
      </c>
      <c r="G92" s="2" t="s">
        <v>86</v>
      </c>
      <c r="H92" s="2" t="s">
        <v>1152</v>
      </c>
      <c r="I92" s="2" t="s">
        <v>246</v>
      </c>
      <c r="J92" s="2" t="s">
        <v>278</v>
      </c>
      <c r="K92" s="2" t="s">
        <v>149</v>
      </c>
      <c r="L92" s="2" t="s">
        <v>475</v>
      </c>
      <c r="M92" s="1" t="s">
        <v>61</v>
      </c>
      <c r="N92" s="2" t="str">
        <f t="shared" si="1"/>
        <v>Hombre Montevideo CM oposicion_cerril</v>
      </c>
      <c r="O92" s="2" t="s">
        <v>62</v>
      </c>
      <c r="P92" s="6" t="s">
        <v>1153</v>
      </c>
      <c r="Q92" s="7" t="s">
        <v>208</v>
      </c>
      <c r="R92" s="7" t="s">
        <v>558</v>
      </c>
      <c r="S92" s="7" t="s">
        <v>462</v>
      </c>
      <c r="T92" s="7"/>
      <c r="U92" s="8" t="s">
        <v>115</v>
      </c>
      <c r="V92" s="8" t="s">
        <v>209</v>
      </c>
      <c r="W92" s="2" t="s">
        <v>67</v>
      </c>
      <c r="X92" s="2" t="s">
        <v>1154</v>
      </c>
      <c r="Y92" s="8" t="s">
        <v>194</v>
      </c>
      <c r="Z92" s="8" t="s">
        <v>748</v>
      </c>
      <c r="AA92" s="3" t="s">
        <v>1155</v>
      </c>
      <c r="AB92" s="7" t="s">
        <v>155</v>
      </c>
      <c r="AC92" s="7" t="s">
        <v>874</v>
      </c>
      <c r="AD92" s="7"/>
      <c r="AE92" s="2" t="s">
        <v>1156</v>
      </c>
      <c r="AF92" s="9">
        <v>502.0</v>
      </c>
      <c r="AG92" s="9">
        <v>204.0</v>
      </c>
      <c r="AH92" s="9">
        <v>205.0</v>
      </c>
      <c r="AI92" s="9">
        <v>402.0</v>
      </c>
      <c r="AJ92" s="9"/>
      <c r="AK92" s="9"/>
      <c r="AL92" s="2" t="s">
        <v>1157</v>
      </c>
      <c r="AM92" s="5" t="s">
        <v>1158</v>
      </c>
      <c r="AN92" s="9">
        <v>101.0</v>
      </c>
      <c r="AO92" s="9"/>
      <c r="AP92" s="9"/>
      <c r="AQ92" s="9"/>
      <c r="AR92" s="9"/>
      <c r="AS92" s="2" t="s">
        <v>139</v>
      </c>
      <c r="AT92" s="2" t="s">
        <v>1159</v>
      </c>
      <c r="AU92" s="9">
        <v>101.0</v>
      </c>
      <c r="AV92" s="9"/>
      <c r="AW92" s="9"/>
      <c r="AX92" s="2" t="s">
        <v>1160</v>
      </c>
      <c r="AY92" s="1" t="s">
        <v>258</v>
      </c>
      <c r="AZ92" s="1" t="s">
        <v>78</v>
      </c>
      <c r="BA92" s="2" t="s">
        <v>242</v>
      </c>
      <c r="BB92" s="2" t="s">
        <v>1161</v>
      </c>
      <c r="BC92" s="1" t="s">
        <v>81</v>
      </c>
    </row>
    <row r="93" ht="15.75" customHeight="1">
      <c r="A93" s="2">
        <f t="shared" si="2"/>
        <v>92</v>
      </c>
      <c r="B93" s="2" t="s">
        <v>1162</v>
      </c>
      <c r="C93" s="2" t="s">
        <v>83</v>
      </c>
      <c r="D93" s="2" t="s">
        <v>84</v>
      </c>
      <c r="E93" s="2" t="s">
        <v>1163</v>
      </c>
      <c r="F93" s="2" t="s">
        <v>278</v>
      </c>
      <c r="G93" s="2" t="s">
        <v>232</v>
      </c>
      <c r="H93" s="2" t="s">
        <v>1164</v>
      </c>
      <c r="I93" s="2" t="s">
        <v>59</v>
      </c>
      <c r="J93" s="2" t="s">
        <v>278</v>
      </c>
      <c r="K93" s="2" t="s">
        <v>60</v>
      </c>
      <c r="L93" s="2" t="s">
        <v>409</v>
      </c>
      <c r="M93" s="1" t="s">
        <v>61</v>
      </c>
      <c r="N93" s="2" t="str">
        <f t="shared" si="1"/>
        <v>Mujer Montevideo FA dialoguista</v>
      </c>
      <c r="O93" s="2" t="s">
        <v>62</v>
      </c>
      <c r="P93" s="6" t="s">
        <v>1165</v>
      </c>
      <c r="Q93" s="7" t="s">
        <v>64</v>
      </c>
      <c r="R93" s="7"/>
      <c r="S93" s="7"/>
      <c r="T93" s="7"/>
      <c r="U93" s="8" t="s">
        <v>151</v>
      </c>
      <c r="V93" s="8" t="s">
        <v>300</v>
      </c>
      <c r="W93" s="2" t="s">
        <v>67</v>
      </c>
      <c r="X93" s="2" t="s">
        <v>1166</v>
      </c>
      <c r="Y93" s="8" t="s">
        <v>94</v>
      </c>
      <c r="Z93" s="8" t="s">
        <v>283</v>
      </c>
      <c r="AA93" s="3" t="s">
        <v>1167</v>
      </c>
      <c r="AB93" s="7" t="s">
        <v>285</v>
      </c>
      <c r="AC93" s="7" t="s">
        <v>155</v>
      </c>
      <c r="AD93" s="7" t="s">
        <v>71</v>
      </c>
      <c r="AE93" s="2" t="s">
        <v>1168</v>
      </c>
      <c r="AF93" s="9">
        <v>502.0</v>
      </c>
      <c r="AG93" s="9"/>
      <c r="AH93" s="9"/>
      <c r="AI93" s="9"/>
      <c r="AJ93" s="9"/>
      <c r="AK93" s="9"/>
      <c r="AL93" s="2" t="s">
        <v>1061</v>
      </c>
      <c r="AM93" s="5" t="s">
        <v>1061</v>
      </c>
      <c r="AN93" s="9">
        <v>101.0</v>
      </c>
      <c r="AO93" s="9"/>
      <c r="AP93" s="9"/>
      <c r="AQ93" s="9"/>
      <c r="AR93" s="9"/>
      <c r="AS93" s="2" t="s">
        <v>74</v>
      </c>
      <c r="AT93" s="2" t="s">
        <v>1169</v>
      </c>
      <c r="AU93" s="9">
        <v>101.0</v>
      </c>
      <c r="AV93" s="9">
        <v>102.0</v>
      </c>
      <c r="AW93" s="9">
        <v>401.0</v>
      </c>
      <c r="AX93" s="2" t="s">
        <v>1170</v>
      </c>
      <c r="AY93" s="1" t="s">
        <v>646</v>
      </c>
      <c r="AZ93" s="1" t="s">
        <v>127</v>
      </c>
      <c r="BA93" s="2" t="s">
        <v>242</v>
      </c>
      <c r="BB93" s="2" t="s">
        <v>1171</v>
      </c>
      <c r="BC93" s="1" t="s">
        <v>129</v>
      </c>
    </row>
    <row r="94" ht="15.75" customHeight="1">
      <c r="A94" s="2">
        <f t="shared" si="2"/>
        <v>93</v>
      </c>
      <c r="B94" s="2" t="s">
        <v>1172</v>
      </c>
      <c r="C94" s="2" t="s">
        <v>83</v>
      </c>
      <c r="D94" s="2" t="s">
        <v>84</v>
      </c>
      <c r="E94" s="2" t="s">
        <v>1173</v>
      </c>
      <c r="F94" s="2" t="s">
        <v>360</v>
      </c>
      <c r="G94" s="2" t="s">
        <v>86</v>
      </c>
      <c r="H94" s="2" t="s">
        <v>1174</v>
      </c>
      <c r="I94" s="2" t="s">
        <v>1175</v>
      </c>
      <c r="J94" s="2" t="s">
        <v>296</v>
      </c>
      <c r="K94" s="2" t="s">
        <v>149</v>
      </c>
      <c r="L94" s="2" t="s">
        <v>475</v>
      </c>
      <c r="M94" s="1" t="s">
        <v>61</v>
      </c>
      <c r="N94" s="2" t="str">
        <f t="shared" si="1"/>
        <v>Mujer Interior Coalición CM oposicion_cerril</v>
      </c>
      <c r="O94" s="2" t="s">
        <v>62</v>
      </c>
      <c r="P94" s="6" t="s">
        <v>1176</v>
      </c>
      <c r="Q94" s="7" t="s">
        <v>558</v>
      </c>
      <c r="R94" s="7" t="s">
        <v>462</v>
      </c>
      <c r="S94" s="7" t="s">
        <v>559</v>
      </c>
      <c r="T94" s="7"/>
      <c r="U94" s="8" t="s">
        <v>450</v>
      </c>
      <c r="V94" s="8" t="s">
        <v>547</v>
      </c>
      <c r="W94" s="2" t="s">
        <v>88</v>
      </c>
      <c r="X94" s="2" t="s">
        <v>1177</v>
      </c>
      <c r="Y94" s="8" t="s">
        <v>194</v>
      </c>
      <c r="Z94" s="8" t="s">
        <v>195</v>
      </c>
      <c r="AA94" s="3" t="s">
        <v>1177</v>
      </c>
      <c r="AB94" s="7" t="s">
        <v>97</v>
      </c>
      <c r="AC94" s="7"/>
      <c r="AD94" s="7"/>
      <c r="AE94" s="2" t="s">
        <v>1178</v>
      </c>
      <c r="AF94" s="9">
        <v>404.0</v>
      </c>
      <c r="AG94" s="9">
        <v>204.0</v>
      </c>
      <c r="AH94" s="9">
        <v>105.0</v>
      </c>
      <c r="AI94" s="9"/>
      <c r="AJ94" s="9"/>
      <c r="AK94" s="9"/>
      <c r="AL94" s="2" t="s">
        <v>1179</v>
      </c>
      <c r="AM94" s="5" t="s">
        <v>1179</v>
      </c>
      <c r="AN94" s="9">
        <v>403.0</v>
      </c>
      <c r="AO94" s="9"/>
      <c r="AP94" s="9"/>
      <c r="AQ94" s="9"/>
      <c r="AR94" s="9"/>
      <c r="AS94" s="2" t="s">
        <v>74</v>
      </c>
      <c r="AT94" s="2" t="s">
        <v>1180</v>
      </c>
      <c r="AU94" s="9">
        <v>101.0</v>
      </c>
      <c r="AV94" s="9"/>
      <c r="AW94" s="9"/>
      <c r="AX94" s="2" t="s">
        <v>1181</v>
      </c>
      <c r="AY94" s="1" t="s">
        <v>126</v>
      </c>
      <c r="AZ94" s="1" t="s">
        <v>129</v>
      </c>
      <c r="BA94" s="2" t="s">
        <v>242</v>
      </c>
      <c r="BB94" s="2" t="s">
        <v>1182</v>
      </c>
      <c r="BC94" s="1" t="s">
        <v>81</v>
      </c>
    </row>
    <row r="95" ht="15.75" customHeight="1">
      <c r="A95" s="2">
        <f t="shared" si="2"/>
        <v>94</v>
      </c>
      <c r="B95" s="2" t="s">
        <v>1183</v>
      </c>
      <c r="C95" s="2" t="s">
        <v>83</v>
      </c>
      <c r="D95" s="2" t="s">
        <v>84</v>
      </c>
      <c r="E95" s="2" t="s">
        <v>1184</v>
      </c>
      <c r="F95" s="2" t="s">
        <v>278</v>
      </c>
      <c r="G95" s="2" t="s">
        <v>57</v>
      </c>
      <c r="H95" s="2" t="s">
        <v>1185</v>
      </c>
      <c r="I95" s="2" t="s">
        <v>59</v>
      </c>
      <c r="J95" s="2" t="s">
        <v>278</v>
      </c>
      <c r="K95" s="2" t="s">
        <v>60</v>
      </c>
      <c r="L95" s="2" t="s">
        <v>628</v>
      </c>
      <c r="M95" s="1" t="s">
        <v>61</v>
      </c>
      <c r="N95" s="2" t="str">
        <f t="shared" si="1"/>
        <v>Mujer Montevideo FA descreidas/alejadas</v>
      </c>
      <c r="O95" s="2" t="s">
        <v>62</v>
      </c>
      <c r="P95" s="6" t="s">
        <v>1186</v>
      </c>
      <c r="Q95" s="7" t="s">
        <v>64</v>
      </c>
      <c r="R95" s="7" t="s">
        <v>299</v>
      </c>
      <c r="S95" s="7"/>
      <c r="T95" s="7"/>
      <c r="U95" s="8" t="s">
        <v>65</v>
      </c>
      <c r="V95" s="8" t="s">
        <v>1187</v>
      </c>
      <c r="W95" s="2" t="s">
        <v>67</v>
      </c>
      <c r="X95" s="2" t="s">
        <v>1188</v>
      </c>
      <c r="Y95" s="8" t="s">
        <v>118</v>
      </c>
      <c r="Z95" s="8" t="s">
        <v>536</v>
      </c>
      <c r="AA95" s="3" t="s">
        <v>1189</v>
      </c>
      <c r="AB95" s="7" t="s">
        <v>480</v>
      </c>
      <c r="AC95" s="7" t="s">
        <v>71</v>
      </c>
      <c r="AD95" s="7"/>
      <c r="AE95" s="2" t="s">
        <v>1190</v>
      </c>
      <c r="AF95" s="9">
        <v>403.0</v>
      </c>
      <c r="AG95" s="9">
        <v>101.0</v>
      </c>
      <c r="AH95" s="9">
        <v>102.0</v>
      </c>
      <c r="AI95" s="9"/>
      <c r="AJ95" s="9"/>
      <c r="AK95" s="9"/>
      <c r="AL95" s="2" t="s">
        <v>1191</v>
      </c>
      <c r="AM95" s="5" t="s">
        <v>1192</v>
      </c>
      <c r="AN95" s="9">
        <v>402.0</v>
      </c>
      <c r="AO95" s="9"/>
      <c r="AP95" s="9"/>
      <c r="AQ95" s="9"/>
      <c r="AR95" s="9"/>
      <c r="AS95" s="2" t="s">
        <v>123</v>
      </c>
      <c r="AT95" s="2" t="s">
        <v>1193</v>
      </c>
      <c r="AU95" s="9">
        <v>201.0</v>
      </c>
      <c r="AV95" s="9">
        <v>204.0</v>
      </c>
      <c r="AW95" s="9"/>
      <c r="AX95" s="2" t="s">
        <v>1194</v>
      </c>
      <c r="AY95" s="1" t="s">
        <v>77</v>
      </c>
      <c r="AZ95" s="1" t="s">
        <v>127</v>
      </c>
      <c r="BA95" s="2" t="s">
        <v>242</v>
      </c>
      <c r="BB95" s="2" t="s">
        <v>1195</v>
      </c>
      <c r="BC95" s="1" t="s">
        <v>161</v>
      </c>
    </row>
    <row r="96" ht="15.75" customHeight="1">
      <c r="A96" s="2">
        <f t="shared" si="2"/>
        <v>95</v>
      </c>
      <c r="B96" s="2" t="s">
        <v>1196</v>
      </c>
      <c r="C96" s="2" t="s">
        <v>83</v>
      </c>
      <c r="D96" s="2" t="s">
        <v>84</v>
      </c>
      <c r="E96" s="2" t="s">
        <v>1197</v>
      </c>
      <c r="F96" s="2" t="s">
        <v>278</v>
      </c>
      <c r="G96" s="2" t="s">
        <v>57</v>
      </c>
      <c r="H96" s="2" t="s">
        <v>545</v>
      </c>
      <c r="I96" s="2" t="s">
        <v>334</v>
      </c>
      <c r="J96" s="2" t="s">
        <v>278</v>
      </c>
      <c r="K96" s="2" t="s">
        <v>149</v>
      </c>
      <c r="L96" s="2" t="s">
        <v>297</v>
      </c>
      <c r="M96" s="1" t="s">
        <v>61</v>
      </c>
      <c r="N96" s="2" t="str">
        <f t="shared" si="1"/>
        <v>Mujer Montevideo CM oposicion_abierta</v>
      </c>
      <c r="O96" s="2" t="s">
        <v>62</v>
      </c>
      <c r="P96" s="6" t="s">
        <v>1198</v>
      </c>
      <c r="Q96" s="7" t="s">
        <v>234</v>
      </c>
      <c r="R96" s="7" t="s">
        <v>90</v>
      </c>
      <c r="S96" s="7"/>
      <c r="T96" s="7"/>
      <c r="U96" s="8" t="s">
        <v>91</v>
      </c>
      <c r="V96" s="8" t="s">
        <v>661</v>
      </c>
      <c r="W96" s="2" t="s">
        <v>67</v>
      </c>
      <c r="X96" s="2" t="s">
        <v>1199</v>
      </c>
      <c r="Y96" s="8" t="s">
        <v>94</v>
      </c>
      <c r="Z96" s="8" t="s">
        <v>283</v>
      </c>
      <c r="AA96" s="3" t="s">
        <v>1200</v>
      </c>
      <c r="AB96" s="7" t="s">
        <v>97</v>
      </c>
      <c r="AC96" s="7" t="s">
        <v>285</v>
      </c>
      <c r="AD96" s="7" t="s">
        <v>155</v>
      </c>
      <c r="AE96" s="2" t="s">
        <v>1201</v>
      </c>
      <c r="AF96" s="9">
        <v>402.0</v>
      </c>
      <c r="AG96" s="9">
        <v>301.0</v>
      </c>
      <c r="AH96" s="9">
        <v>101.0</v>
      </c>
      <c r="AI96" s="9">
        <v>202.0</v>
      </c>
      <c r="AJ96" s="9">
        <v>205.0</v>
      </c>
      <c r="AK96" s="9">
        <v>201.0</v>
      </c>
      <c r="AL96" s="2" t="s">
        <v>1202</v>
      </c>
      <c r="AM96" s="5" t="s">
        <v>1203</v>
      </c>
      <c r="AN96" s="9">
        <v>102.0</v>
      </c>
      <c r="AO96" s="9">
        <v>101.0</v>
      </c>
      <c r="AP96" s="9"/>
      <c r="AQ96" s="9"/>
      <c r="AR96" s="9"/>
      <c r="AS96" s="2" t="s">
        <v>74</v>
      </c>
      <c r="AT96" s="2" t="s">
        <v>1204</v>
      </c>
      <c r="AU96" s="9">
        <v>101.0</v>
      </c>
      <c r="AV96" s="9"/>
      <c r="AW96" s="9"/>
      <c r="AX96" s="2" t="s">
        <v>1205</v>
      </c>
      <c r="AY96" s="1" t="s">
        <v>258</v>
      </c>
      <c r="AZ96" s="1" t="s">
        <v>78</v>
      </c>
      <c r="BA96" s="2" t="s">
        <v>242</v>
      </c>
      <c r="BB96" s="2" t="s">
        <v>1206</v>
      </c>
      <c r="BC96" s="1" t="s">
        <v>81</v>
      </c>
    </row>
    <row r="97" ht="15.75" customHeight="1">
      <c r="A97" s="2">
        <f t="shared" si="2"/>
        <v>96</v>
      </c>
      <c r="B97" s="2" t="s">
        <v>1207</v>
      </c>
      <c r="C97" s="2" t="s">
        <v>53</v>
      </c>
      <c r="D97" s="2" t="s">
        <v>84</v>
      </c>
      <c r="E97" s="2" t="s">
        <v>1208</v>
      </c>
      <c r="F97" s="2" t="s">
        <v>768</v>
      </c>
      <c r="G97" s="2" t="s">
        <v>205</v>
      </c>
      <c r="H97" s="2" t="s">
        <v>1209</v>
      </c>
      <c r="I97" s="2" t="s">
        <v>59</v>
      </c>
      <c r="J97" s="2" t="s">
        <v>180</v>
      </c>
      <c r="K97" s="2" t="s">
        <v>60</v>
      </c>
      <c r="L97" s="2" t="s">
        <v>280</v>
      </c>
      <c r="M97" s="1" t="s">
        <v>61</v>
      </c>
      <c r="N97" s="2" t="str">
        <f t="shared" si="1"/>
        <v>Mujer Interior Frente Amplio FA oficialista_abierto</v>
      </c>
      <c r="O97" s="2" t="s">
        <v>88</v>
      </c>
      <c r="P97" s="6" t="s">
        <v>1210</v>
      </c>
      <c r="Q97" s="7" t="s">
        <v>336</v>
      </c>
      <c r="R97" s="7"/>
      <c r="S97" s="7"/>
      <c r="T97" s="7"/>
      <c r="U97" s="8" t="s">
        <v>337</v>
      </c>
      <c r="V97" s="8" t="s">
        <v>477</v>
      </c>
      <c r="W97" s="2" t="s">
        <v>62</v>
      </c>
      <c r="X97" s="2" t="s">
        <v>1211</v>
      </c>
      <c r="Y97" s="8" t="s">
        <v>118</v>
      </c>
      <c r="Z97" s="8" t="s">
        <v>440</v>
      </c>
      <c r="AA97" s="3" t="s">
        <v>1211</v>
      </c>
      <c r="AB97" s="7" t="s">
        <v>97</v>
      </c>
      <c r="AC97" s="7"/>
      <c r="AD97" s="7"/>
      <c r="AE97" s="2" t="s">
        <v>1212</v>
      </c>
      <c r="AF97" s="9">
        <v>503.0</v>
      </c>
      <c r="AG97" s="9"/>
      <c r="AH97" s="9"/>
      <c r="AI97" s="9"/>
      <c r="AJ97" s="9"/>
      <c r="AK97" s="9"/>
      <c r="AL97" s="2" t="s">
        <v>1213</v>
      </c>
      <c r="AM97" s="5" t="s">
        <v>1213</v>
      </c>
      <c r="AN97" s="9" t="s">
        <v>1214</v>
      </c>
      <c r="AO97" s="9"/>
      <c r="AP97" s="9"/>
      <c r="AQ97" s="9"/>
      <c r="AR97" s="9"/>
      <c r="AS97" s="2" t="s">
        <v>123</v>
      </c>
      <c r="AT97" s="2" t="s">
        <v>1215</v>
      </c>
      <c r="AU97" s="9">
        <v>202.0</v>
      </c>
      <c r="AV97" s="9"/>
      <c r="AW97" s="9"/>
      <c r="AX97" s="2" t="s">
        <v>1216</v>
      </c>
      <c r="AY97" s="1" t="s">
        <v>142</v>
      </c>
      <c r="AZ97" s="1" t="s">
        <v>159</v>
      </c>
      <c r="BA97" s="2" t="s">
        <v>228</v>
      </c>
      <c r="BB97" s="2" t="s">
        <v>1217</v>
      </c>
      <c r="BC97" s="1" t="s">
        <v>291</v>
      </c>
    </row>
    <row r="98" ht="15.75" customHeight="1">
      <c r="A98" s="2">
        <f t="shared" si="2"/>
        <v>97</v>
      </c>
      <c r="B98" s="2" t="s">
        <v>1218</v>
      </c>
      <c r="C98" s="2" t="s">
        <v>83</v>
      </c>
      <c r="D98" s="2" t="s">
        <v>84</v>
      </c>
      <c r="E98" s="2" t="s">
        <v>1219</v>
      </c>
      <c r="F98" s="2" t="s">
        <v>56</v>
      </c>
      <c r="G98" s="2" t="s">
        <v>57</v>
      </c>
      <c r="H98" s="2" t="s">
        <v>112</v>
      </c>
      <c r="I98" s="2" t="s">
        <v>59</v>
      </c>
      <c r="J98" s="2" t="s">
        <v>56</v>
      </c>
      <c r="K98" s="2" t="s">
        <v>60</v>
      </c>
      <c r="L98" s="2" t="s">
        <v>628</v>
      </c>
      <c r="M98" s="1" t="s">
        <v>61</v>
      </c>
      <c r="N98" s="2" t="str">
        <f t="shared" si="1"/>
        <v>Mujer Canelones FA descreidas/alejadas</v>
      </c>
      <c r="O98" s="2" t="s">
        <v>62</v>
      </c>
      <c r="P98" s="6" t="s">
        <v>1220</v>
      </c>
      <c r="Q98" s="7" t="s">
        <v>90</v>
      </c>
      <c r="R98" s="7"/>
      <c r="S98" s="7"/>
      <c r="T98" s="7"/>
      <c r="U98" s="8" t="s">
        <v>91</v>
      </c>
      <c r="V98" s="8" t="s">
        <v>92</v>
      </c>
      <c r="W98" s="2" t="s">
        <v>62</v>
      </c>
      <c r="X98" s="2" t="s">
        <v>1221</v>
      </c>
      <c r="Y98" s="8" t="s">
        <v>118</v>
      </c>
      <c r="Z98" s="8" t="s">
        <v>440</v>
      </c>
      <c r="AA98" s="3" t="s">
        <v>1221</v>
      </c>
      <c r="AB98" s="7" t="s">
        <v>97</v>
      </c>
      <c r="AC98" s="7"/>
      <c r="AD98" s="7"/>
      <c r="AE98" s="2" t="s">
        <v>1222</v>
      </c>
      <c r="AF98" s="9">
        <v>101.0</v>
      </c>
      <c r="AG98" s="9"/>
      <c r="AH98" s="9"/>
      <c r="AI98" s="9"/>
      <c r="AJ98" s="9"/>
      <c r="AK98" s="9"/>
      <c r="AL98" s="2" t="s">
        <v>1223</v>
      </c>
      <c r="AM98" s="5" t="s">
        <v>1223</v>
      </c>
      <c r="AN98" s="9">
        <v>202.0</v>
      </c>
      <c r="AO98" s="9"/>
      <c r="AP98" s="9"/>
      <c r="AQ98" s="9"/>
      <c r="AR98" s="9"/>
      <c r="AS98" s="2" t="s">
        <v>74</v>
      </c>
      <c r="AT98" s="2" t="s">
        <v>1224</v>
      </c>
      <c r="AU98" s="9">
        <v>102.0</v>
      </c>
      <c r="AV98" s="9"/>
      <c r="AW98" s="9"/>
      <c r="AX98" s="2" t="s">
        <v>1225</v>
      </c>
      <c r="AY98" s="1" t="s">
        <v>142</v>
      </c>
      <c r="AZ98" s="1" t="s">
        <v>127</v>
      </c>
      <c r="BA98" s="2" t="s">
        <v>242</v>
      </c>
      <c r="BB98" s="2" t="s">
        <v>1226</v>
      </c>
      <c r="BC98" s="1" t="s">
        <v>161</v>
      </c>
    </row>
    <row r="99" ht="15.75" customHeight="1">
      <c r="A99" s="2">
        <f t="shared" si="2"/>
        <v>98</v>
      </c>
      <c r="B99" s="2" t="s">
        <v>1227</v>
      </c>
      <c r="C99" s="2" t="s">
        <v>109</v>
      </c>
      <c r="D99" s="2" t="s">
        <v>84</v>
      </c>
      <c r="E99" s="2" t="s">
        <v>1228</v>
      </c>
      <c r="F99" s="2" t="s">
        <v>56</v>
      </c>
      <c r="G99" s="2" t="s">
        <v>86</v>
      </c>
      <c r="H99" s="2" t="s">
        <v>206</v>
      </c>
      <c r="I99" s="2" t="s">
        <v>59</v>
      </c>
      <c r="J99" s="2" t="s">
        <v>56</v>
      </c>
      <c r="K99" s="2" t="s">
        <v>60</v>
      </c>
      <c r="L99" s="2" t="s">
        <v>311</v>
      </c>
      <c r="M99" s="1" t="s">
        <v>61</v>
      </c>
      <c r="N99" s="2" t="str">
        <f t="shared" si="1"/>
        <v>Mujer Canelones FA oficialista_acerrimo</v>
      </c>
      <c r="O99" s="2" t="s">
        <v>67</v>
      </c>
      <c r="P99" s="6" t="s">
        <v>1229</v>
      </c>
      <c r="Q99" s="7" t="s">
        <v>165</v>
      </c>
      <c r="R99" s="7" t="s">
        <v>1230</v>
      </c>
      <c r="S99" s="7"/>
      <c r="T99" s="7"/>
      <c r="U99" s="8" t="s">
        <v>65</v>
      </c>
      <c r="V99" s="8" t="s">
        <v>324</v>
      </c>
      <c r="W99" s="2" t="s">
        <v>62</v>
      </c>
      <c r="X99" s="2" t="s">
        <v>1231</v>
      </c>
      <c r="Y99" s="8" t="s">
        <v>266</v>
      </c>
      <c r="Z99" s="8" t="s">
        <v>314</v>
      </c>
      <c r="AA99" s="3" t="s">
        <v>1232</v>
      </c>
      <c r="AB99" s="7" t="s">
        <v>713</v>
      </c>
      <c r="AC99" s="7" t="s">
        <v>270</v>
      </c>
      <c r="AD99" s="7"/>
      <c r="AE99" s="2" t="s">
        <v>1233</v>
      </c>
      <c r="AF99" s="9">
        <v>301.0</v>
      </c>
      <c r="AG99" s="9">
        <v>105.0</v>
      </c>
      <c r="AH99" s="9">
        <v>403.0</v>
      </c>
      <c r="AI99" s="9"/>
      <c r="AJ99" s="9"/>
      <c r="AK99" s="9"/>
      <c r="AL99" s="2" t="s">
        <v>1234</v>
      </c>
      <c r="AM99" s="5" t="s">
        <v>1235</v>
      </c>
      <c r="AN99" s="9">
        <v>401.0</v>
      </c>
      <c r="AO99" s="9"/>
      <c r="AP99" s="9"/>
      <c r="AQ99" s="9"/>
      <c r="AR99" s="9"/>
      <c r="AS99" s="2" t="s">
        <v>123</v>
      </c>
      <c r="AT99" s="2" t="s">
        <v>1236</v>
      </c>
      <c r="AU99" s="9">
        <v>203.0</v>
      </c>
      <c r="AV99" s="9">
        <v>101.0</v>
      </c>
      <c r="AW99" s="9"/>
      <c r="AX99" s="2" t="s">
        <v>1237</v>
      </c>
      <c r="AY99" s="1" t="s">
        <v>105</v>
      </c>
      <c r="AZ99" s="1" t="s">
        <v>187</v>
      </c>
      <c r="BA99" s="2" t="s">
        <v>174</v>
      </c>
      <c r="BB99" s="2" t="s">
        <v>1238</v>
      </c>
      <c r="BC99" s="1" t="s">
        <v>107</v>
      </c>
    </row>
    <row r="100" ht="15.75" customHeight="1">
      <c r="A100" s="2">
        <f t="shared" si="2"/>
        <v>99</v>
      </c>
      <c r="B100" s="2" t="s">
        <v>1239</v>
      </c>
      <c r="C100" s="2" t="s">
        <v>109</v>
      </c>
      <c r="D100" s="2" t="s">
        <v>54</v>
      </c>
      <c r="E100" s="2" t="s">
        <v>1240</v>
      </c>
      <c r="F100" s="2" t="s">
        <v>278</v>
      </c>
      <c r="G100" s="2" t="s">
        <v>111</v>
      </c>
      <c r="H100" s="2" t="s">
        <v>1241</v>
      </c>
      <c r="I100" s="2" t="s">
        <v>148</v>
      </c>
      <c r="J100" s="2" t="s">
        <v>278</v>
      </c>
      <c r="K100" s="2" t="s">
        <v>149</v>
      </c>
      <c r="L100" s="2" t="s">
        <v>475</v>
      </c>
      <c r="M100" s="1" t="s">
        <v>61</v>
      </c>
      <c r="N100" s="2" t="str">
        <f t="shared" si="1"/>
        <v>Hombre Montevideo CM oposicion_cerril</v>
      </c>
      <c r="O100" s="2" t="s">
        <v>62</v>
      </c>
      <c r="P100" s="6" t="s">
        <v>1242</v>
      </c>
      <c r="Q100" s="7" t="s">
        <v>90</v>
      </c>
      <c r="R100" s="7"/>
      <c r="S100" s="7"/>
      <c r="T100" s="7"/>
      <c r="U100" s="8" t="s">
        <v>91</v>
      </c>
      <c r="V100" s="8" t="s">
        <v>661</v>
      </c>
      <c r="W100" s="2" t="s">
        <v>67</v>
      </c>
      <c r="X100" s="2" t="s">
        <v>1243</v>
      </c>
      <c r="Y100" s="8" t="s">
        <v>94</v>
      </c>
      <c r="Z100" s="8" t="s">
        <v>283</v>
      </c>
      <c r="AA100" s="3" t="s">
        <v>1244</v>
      </c>
      <c r="AB100" s="7" t="s">
        <v>155</v>
      </c>
      <c r="AC100" s="7" t="s">
        <v>285</v>
      </c>
      <c r="AD100" s="7"/>
      <c r="AE100" s="2" t="s">
        <v>1245</v>
      </c>
      <c r="AF100" s="9">
        <v>201.0</v>
      </c>
      <c r="AG100" s="9">
        <v>101.0</v>
      </c>
      <c r="AH100" s="9"/>
      <c r="AI100" s="9"/>
      <c r="AJ100" s="9"/>
      <c r="AK100" s="9"/>
      <c r="AL100" s="2" t="s">
        <v>1246</v>
      </c>
      <c r="AM100" s="5" t="s">
        <v>1246</v>
      </c>
      <c r="AN100" s="9">
        <v>101.0</v>
      </c>
      <c r="AO100" s="9">
        <v>203.0</v>
      </c>
      <c r="AP100" s="9"/>
      <c r="AQ100" s="9"/>
      <c r="AR100" s="9"/>
      <c r="AS100" s="2" t="s">
        <v>74</v>
      </c>
      <c r="AT100" s="2" t="s">
        <v>1247</v>
      </c>
      <c r="AU100" s="9">
        <v>101.0</v>
      </c>
      <c r="AV100" s="9"/>
      <c r="AW100" s="9"/>
      <c r="AX100" s="2" t="s">
        <v>1248</v>
      </c>
      <c r="AY100" s="1" t="s">
        <v>105</v>
      </c>
      <c r="AZ100" s="1" t="s">
        <v>127</v>
      </c>
      <c r="BA100" s="2" t="s">
        <v>79</v>
      </c>
      <c r="BB100" s="2" t="s">
        <v>1249</v>
      </c>
      <c r="BC100" s="1" t="s">
        <v>129</v>
      </c>
    </row>
    <row r="101" ht="15.75" customHeight="1">
      <c r="A101" s="2">
        <f t="shared" si="2"/>
        <v>100</v>
      </c>
      <c r="B101" s="2" t="s">
        <v>1250</v>
      </c>
      <c r="C101" s="2" t="s">
        <v>83</v>
      </c>
      <c r="D101" s="2" t="s">
        <v>84</v>
      </c>
      <c r="E101" s="2" t="s">
        <v>1251</v>
      </c>
      <c r="F101" s="2" t="s">
        <v>56</v>
      </c>
      <c r="G101" s="2" t="s">
        <v>86</v>
      </c>
      <c r="H101" s="2" t="s">
        <v>1252</v>
      </c>
      <c r="I101" s="2" t="s">
        <v>246</v>
      </c>
      <c r="J101" s="2" t="s">
        <v>56</v>
      </c>
      <c r="K101" s="2" t="s">
        <v>149</v>
      </c>
      <c r="L101" s="2" t="s">
        <v>628</v>
      </c>
      <c r="M101" s="1" t="s">
        <v>61</v>
      </c>
      <c r="N101" s="2" t="str">
        <f t="shared" si="1"/>
        <v>Mujer Canelones CM descreidas/alejadas</v>
      </c>
      <c r="O101" s="2" t="s">
        <v>88</v>
      </c>
      <c r="P101" s="6" t="s">
        <v>1253</v>
      </c>
      <c r="Q101" s="7" t="s">
        <v>134</v>
      </c>
      <c r="R101" s="7"/>
      <c r="S101" s="7"/>
      <c r="T101" s="7"/>
      <c r="U101" s="8" t="s">
        <v>771</v>
      </c>
      <c r="V101" s="8" t="s">
        <v>772</v>
      </c>
      <c r="W101" s="2" t="s">
        <v>67</v>
      </c>
      <c r="X101" s="2" t="s">
        <v>1254</v>
      </c>
      <c r="Y101" s="8" t="s">
        <v>94</v>
      </c>
      <c r="Z101" s="8" t="s">
        <v>283</v>
      </c>
      <c r="AA101" s="3" t="s">
        <v>1254</v>
      </c>
      <c r="AB101" s="7" t="s">
        <v>285</v>
      </c>
      <c r="AC101" s="7" t="s">
        <v>480</v>
      </c>
      <c r="AD101" s="7"/>
      <c r="AE101" s="2" t="s">
        <v>1255</v>
      </c>
      <c r="AF101" s="9">
        <v>402.0</v>
      </c>
      <c r="AG101" s="9"/>
      <c r="AH101" s="9"/>
      <c r="AI101" s="9"/>
      <c r="AJ101" s="9"/>
      <c r="AK101" s="9"/>
      <c r="AL101" s="2" t="s">
        <v>1256</v>
      </c>
      <c r="AM101" s="5" t="s">
        <v>1256</v>
      </c>
      <c r="AN101" s="9">
        <v>101.0</v>
      </c>
      <c r="AO101" s="9"/>
      <c r="AP101" s="9"/>
      <c r="AQ101" s="9"/>
      <c r="AR101" s="9"/>
      <c r="AS101" s="2" t="s">
        <v>123</v>
      </c>
      <c r="AT101" s="2" t="s">
        <v>1257</v>
      </c>
      <c r="AU101" s="9">
        <v>202.0</v>
      </c>
      <c r="AV101" s="9"/>
      <c r="AW101" s="9"/>
      <c r="AX101" s="2" t="s">
        <v>1258</v>
      </c>
      <c r="AY101" s="1" t="s">
        <v>77</v>
      </c>
      <c r="AZ101" s="1" t="s">
        <v>127</v>
      </c>
      <c r="BA101" s="2" t="s">
        <v>79</v>
      </c>
      <c r="BB101" s="2" t="s">
        <v>1259</v>
      </c>
      <c r="BC101" s="1" t="s">
        <v>144</v>
      </c>
    </row>
    <row r="102" ht="15.75" customHeight="1">
      <c r="A102" s="2">
        <f t="shared" si="2"/>
        <v>101</v>
      </c>
      <c r="B102" s="2" t="s">
        <v>1260</v>
      </c>
      <c r="C102" s="2" t="s">
        <v>109</v>
      </c>
      <c r="D102" s="2" t="s">
        <v>54</v>
      </c>
      <c r="E102" s="2" t="s">
        <v>1261</v>
      </c>
      <c r="F102" s="2" t="s">
        <v>56</v>
      </c>
      <c r="G102" s="2" t="s">
        <v>111</v>
      </c>
      <c r="H102" s="2" t="s">
        <v>423</v>
      </c>
      <c r="I102" s="2" t="s">
        <v>59</v>
      </c>
      <c r="J102" s="2" t="s">
        <v>56</v>
      </c>
      <c r="K102" s="2" t="s">
        <v>60</v>
      </c>
      <c r="L102" s="2" t="s">
        <v>311</v>
      </c>
      <c r="M102" s="1" t="s">
        <v>61</v>
      </c>
      <c r="N102" s="2" t="str">
        <f t="shared" si="1"/>
        <v>Hombre Canelones FA oficialista_acerrimo</v>
      </c>
      <c r="O102" s="2" t="s">
        <v>67</v>
      </c>
      <c r="P102" s="6" t="s">
        <v>1262</v>
      </c>
      <c r="Q102" s="7" t="s">
        <v>165</v>
      </c>
      <c r="R102" s="7"/>
      <c r="S102" s="7"/>
      <c r="T102" s="7"/>
      <c r="U102" s="8" t="s">
        <v>65</v>
      </c>
      <c r="V102" s="8" t="s">
        <v>324</v>
      </c>
      <c r="W102" s="2" t="s">
        <v>62</v>
      </c>
      <c r="X102" s="2" t="s">
        <v>1263</v>
      </c>
      <c r="Y102" s="8" t="s">
        <v>266</v>
      </c>
      <c r="Z102" s="8" t="s">
        <v>1069</v>
      </c>
      <c r="AA102" s="3" t="s">
        <v>1263</v>
      </c>
      <c r="AB102" s="7" t="s">
        <v>98</v>
      </c>
      <c r="AC102" s="7"/>
      <c r="AD102" s="7"/>
      <c r="AE102" s="2" t="s">
        <v>1264</v>
      </c>
      <c r="AF102" s="9">
        <v>201.0</v>
      </c>
      <c r="AG102" s="9">
        <v>101.0</v>
      </c>
      <c r="AH102" s="9"/>
      <c r="AI102" s="9"/>
      <c r="AJ102" s="9"/>
      <c r="AK102" s="9"/>
      <c r="AL102" s="2" t="s">
        <v>1265</v>
      </c>
      <c r="AM102" s="5" t="s">
        <v>1265</v>
      </c>
      <c r="AN102" s="9">
        <v>401.0</v>
      </c>
      <c r="AO102" s="9"/>
      <c r="AP102" s="9"/>
      <c r="AQ102" s="9"/>
      <c r="AR102" s="9"/>
      <c r="AS102" s="2" t="s">
        <v>123</v>
      </c>
      <c r="AT102" s="2" t="s">
        <v>1266</v>
      </c>
      <c r="AU102" s="9">
        <v>101.0</v>
      </c>
      <c r="AV102" s="9"/>
      <c r="AW102" s="9"/>
      <c r="AX102" s="2" t="s">
        <v>1267</v>
      </c>
      <c r="AY102" s="1" t="s">
        <v>646</v>
      </c>
      <c r="AZ102" s="1" t="s">
        <v>127</v>
      </c>
      <c r="BA102" s="2" t="s">
        <v>242</v>
      </c>
      <c r="BB102" s="2" t="s">
        <v>1268</v>
      </c>
      <c r="BC102" s="1" t="s">
        <v>107</v>
      </c>
    </row>
    <row r="103" ht="15.75" customHeight="1">
      <c r="A103" s="2">
        <f t="shared" si="2"/>
        <v>102</v>
      </c>
      <c r="B103" s="2" t="s">
        <v>1269</v>
      </c>
      <c r="C103" s="2" t="s">
        <v>83</v>
      </c>
      <c r="D103" s="2" t="s">
        <v>84</v>
      </c>
      <c r="E103" s="2" t="s">
        <v>1270</v>
      </c>
      <c r="F103" s="2" t="s">
        <v>56</v>
      </c>
      <c r="G103" s="2" t="s">
        <v>205</v>
      </c>
      <c r="H103" s="2" t="s">
        <v>310</v>
      </c>
      <c r="I103" s="2" t="s">
        <v>59</v>
      </c>
      <c r="J103" s="2" t="s">
        <v>56</v>
      </c>
      <c r="K103" s="2" t="s">
        <v>60</v>
      </c>
      <c r="L103" s="2" t="s">
        <v>311</v>
      </c>
      <c r="M103" s="1" t="s">
        <v>61</v>
      </c>
      <c r="N103" s="2" t="str">
        <f t="shared" si="1"/>
        <v>Mujer Canelones FA oficialista_acerrimo</v>
      </c>
      <c r="O103" s="2" t="s">
        <v>67</v>
      </c>
      <c r="P103" s="6" t="s">
        <v>1271</v>
      </c>
      <c r="Q103" s="7" t="s">
        <v>165</v>
      </c>
      <c r="R103" s="7"/>
      <c r="S103" s="7"/>
      <c r="T103" s="7"/>
      <c r="U103" s="8" t="s">
        <v>65</v>
      </c>
      <c r="V103" s="8" t="s">
        <v>324</v>
      </c>
      <c r="W103" s="2" t="s">
        <v>62</v>
      </c>
      <c r="X103" s="2" t="s">
        <v>1272</v>
      </c>
      <c r="Y103" s="8" t="s">
        <v>266</v>
      </c>
      <c r="Z103" s="8" t="s">
        <v>314</v>
      </c>
      <c r="AA103" s="3" t="s">
        <v>1272</v>
      </c>
      <c r="AB103" s="7" t="s">
        <v>270</v>
      </c>
      <c r="AC103" s="7"/>
      <c r="AD103" s="7"/>
      <c r="AE103" s="2" t="s">
        <v>1273</v>
      </c>
      <c r="AF103" s="9">
        <v>101.0</v>
      </c>
      <c r="AG103" s="9">
        <v>201.0</v>
      </c>
      <c r="AH103" s="9"/>
      <c r="AI103" s="9"/>
      <c r="AJ103" s="9"/>
      <c r="AK103" s="9"/>
      <c r="AL103" s="2" t="s">
        <v>1274</v>
      </c>
      <c r="AM103" s="5" t="s">
        <v>1274</v>
      </c>
      <c r="AN103" s="9">
        <v>206.0</v>
      </c>
      <c r="AO103" s="9"/>
      <c r="AP103" s="9"/>
      <c r="AQ103" s="9"/>
      <c r="AR103" s="9"/>
      <c r="AS103" s="2" t="s">
        <v>123</v>
      </c>
      <c r="AT103" s="2" t="s">
        <v>1275</v>
      </c>
      <c r="AU103" s="9">
        <v>201.0</v>
      </c>
      <c r="AV103" s="9">
        <v>203.0</v>
      </c>
      <c r="AW103" s="9"/>
      <c r="AX103" s="2" t="s">
        <v>1276</v>
      </c>
      <c r="AY103" s="1" t="s">
        <v>646</v>
      </c>
      <c r="AZ103" s="1" t="s">
        <v>127</v>
      </c>
      <c r="BA103" s="2" t="s">
        <v>242</v>
      </c>
      <c r="BB103" s="2" t="s">
        <v>1277</v>
      </c>
      <c r="BC103" s="1" t="s">
        <v>107</v>
      </c>
    </row>
    <row r="104" ht="15.75" customHeight="1">
      <c r="A104" s="2">
        <f t="shared" si="2"/>
        <v>103</v>
      </c>
      <c r="B104" s="2" t="s">
        <v>1278</v>
      </c>
      <c r="C104" s="2" t="s">
        <v>83</v>
      </c>
      <c r="D104" s="2" t="s">
        <v>54</v>
      </c>
      <c r="E104" s="2" t="s">
        <v>1279</v>
      </c>
      <c r="F104" s="2" t="s">
        <v>56</v>
      </c>
      <c r="G104" s="2" t="s">
        <v>86</v>
      </c>
      <c r="H104" s="2" t="s">
        <v>1280</v>
      </c>
      <c r="I104" s="2" t="s">
        <v>627</v>
      </c>
      <c r="J104" s="2" t="s">
        <v>56</v>
      </c>
      <c r="K104" s="2" t="s">
        <v>149</v>
      </c>
      <c r="L104" s="2" t="s">
        <v>628</v>
      </c>
      <c r="M104" s="1" t="s">
        <v>61</v>
      </c>
      <c r="N104" s="2" t="str">
        <f t="shared" si="1"/>
        <v>Hombre Canelones CM descreidas/alejadas</v>
      </c>
      <c r="O104" s="2" t="s">
        <v>62</v>
      </c>
      <c r="P104" s="6" t="s">
        <v>1281</v>
      </c>
      <c r="Q104" s="7" t="s">
        <v>64</v>
      </c>
      <c r="R104" s="7" t="s">
        <v>208</v>
      </c>
      <c r="S104" s="7"/>
      <c r="T104" s="7"/>
      <c r="U104" s="8" t="s">
        <v>115</v>
      </c>
      <c r="V104" s="8" t="s">
        <v>209</v>
      </c>
      <c r="W104" s="2" t="s">
        <v>67</v>
      </c>
      <c r="X104" s="2" t="s">
        <v>1282</v>
      </c>
      <c r="Y104" s="8" t="s">
        <v>94</v>
      </c>
      <c r="Z104" s="8" t="s">
        <v>283</v>
      </c>
      <c r="AA104" s="3" t="s">
        <v>1283</v>
      </c>
      <c r="AB104" s="7" t="s">
        <v>155</v>
      </c>
      <c r="AC104" s="7" t="s">
        <v>285</v>
      </c>
      <c r="AD104" s="7" t="s">
        <v>480</v>
      </c>
      <c r="AE104" s="2" t="s">
        <v>1284</v>
      </c>
      <c r="AF104" s="9">
        <v>403.0</v>
      </c>
      <c r="AG104" s="9">
        <v>401.0</v>
      </c>
      <c r="AH104" s="9">
        <v>402.0</v>
      </c>
      <c r="AI104" s="9"/>
      <c r="AJ104" s="9"/>
      <c r="AK104" s="9"/>
      <c r="AL104" s="2" t="s">
        <v>1285</v>
      </c>
      <c r="AM104" s="5" t="s">
        <v>1286</v>
      </c>
      <c r="AN104" s="9">
        <v>101.0</v>
      </c>
      <c r="AO104" s="9"/>
      <c r="AP104" s="9"/>
      <c r="AQ104" s="9"/>
      <c r="AR104" s="9"/>
      <c r="AS104" s="2" t="s">
        <v>123</v>
      </c>
      <c r="AT104" s="2" t="s">
        <v>1287</v>
      </c>
      <c r="AU104" s="9">
        <v>201.0</v>
      </c>
      <c r="AV104" s="9">
        <v>202.0</v>
      </c>
      <c r="AW104" s="9"/>
      <c r="AX104" s="2" t="s">
        <v>1288</v>
      </c>
      <c r="AY104" s="1" t="s">
        <v>105</v>
      </c>
      <c r="AZ104" s="1" t="s">
        <v>129</v>
      </c>
      <c r="BA104" s="2" t="s">
        <v>242</v>
      </c>
      <c r="BB104" s="2" t="s">
        <v>1289</v>
      </c>
      <c r="BC104" s="1" t="s">
        <v>129</v>
      </c>
    </row>
    <row r="105" ht="15.75" customHeight="1">
      <c r="A105" s="2">
        <f t="shared" si="2"/>
        <v>104</v>
      </c>
      <c r="B105" s="2" t="s">
        <v>1290</v>
      </c>
      <c r="C105" s="2" t="s">
        <v>83</v>
      </c>
      <c r="D105" s="2" t="s">
        <v>84</v>
      </c>
      <c r="E105" s="2" t="s">
        <v>1291</v>
      </c>
      <c r="F105" s="2" t="s">
        <v>56</v>
      </c>
      <c r="G105" s="2" t="s">
        <v>111</v>
      </c>
      <c r="H105" s="2" t="s">
        <v>1292</v>
      </c>
      <c r="I105" s="2" t="s">
        <v>246</v>
      </c>
      <c r="J105" s="2" t="s">
        <v>56</v>
      </c>
      <c r="K105" s="2" t="s">
        <v>149</v>
      </c>
      <c r="L105" s="2" t="s">
        <v>475</v>
      </c>
      <c r="M105" s="1" t="s">
        <v>61</v>
      </c>
      <c r="N105" s="2" t="str">
        <f t="shared" si="1"/>
        <v>Mujer Canelones CM oposicion_cerril</v>
      </c>
      <c r="O105" s="2" t="s">
        <v>62</v>
      </c>
      <c r="P105" s="6" t="s">
        <v>1293</v>
      </c>
      <c r="Q105" s="7" t="s">
        <v>64</v>
      </c>
      <c r="R105" s="7"/>
      <c r="S105" s="7"/>
      <c r="T105" s="7"/>
      <c r="U105" s="8" t="s">
        <v>151</v>
      </c>
      <c r="V105" s="8" t="s">
        <v>300</v>
      </c>
      <c r="W105" s="2" t="s">
        <v>67</v>
      </c>
      <c r="X105" s="2" t="s">
        <v>1294</v>
      </c>
      <c r="Y105" s="8" t="s">
        <v>118</v>
      </c>
      <c r="Z105" s="8" t="s">
        <v>536</v>
      </c>
      <c r="AA105" s="3" t="s">
        <v>1294</v>
      </c>
      <c r="AB105" s="7" t="s">
        <v>71</v>
      </c>
      <c r="AC105" s="7"/>
      <c r="AD105" s="7"/>
      <c r="AE105" s="2" t="s">
        <v>1295</v>
      </c>
      <c r="AF105" s="9">
        <v>503.0</v>
      </c>
      <c r="AG105" s="9"/>
      <c r="AH105" s="9"/>
      <c r="AI105" s="9"/>
      <c r="AJ105" s="9"/>
      <c r="AK105" s="9"/>
      <c r="AL105" s="2" t="s">
        <v>1061</v>
      </c>
      <c r="AM105" s="5" t="s">
        <v>1296</v>
      </c>
      <c r="AN105" s="9">
        <v>101.0</v>
      </c>
      <c r="AO105" s="9"/>
      <c r="AP105" s="9"/>
      <c r="AQ105" s="9"/>
      <c r="AR105" s="9"/>
      <c r="AS105" s="2" t="s">
        <v>74</v>
      </c>
      <c r="AT105" s="2" t="s">
        <v>1297</v>
      </c>
      <c r="AU105" s="9">
        <v>102.0</v>
      </c>
      <c r="AV105" s="9"/>
      <c r="AW105" s="9"/>
      <c r="AX105" s="2" t="s">
        <v>1298</v>
      </c>
      <c r="AY105" s="1" t="s">
        <v>77</v>
      </c>
      <c r="AZ105" s="1" t="s">
        <v>127</v>
      </c>
      <c r="BA105" s="2" t="s">
        <v>242</v>
      </c>
      <c r="BB105" s="2" t="s">
        <v>1299</v>
      </c>
      <c r="BC105" s="1" t="s">
        <v>107</v>
      </c>
    </row>
    <row r="106" ht="15.75" customHeight="1">
      <c r="A106" s="2">
        <f t="shared" si="2"/>
        <v>105</v>
      </c>
      <c r="B106" s="2" t="s">
        <v>1300</v>
      </c>
      <c r="C106" s="2" t="s">
        <v>109</v>
      </c>
      <c r="D106" s="2" t="s">
        <v>54</v>
      </c>
      <c r="E106" s="2" t="s">
        <v>1301</v>
      </c>
      <c r="F106" s="2" t="s">
        <v>56</v>
      </c>
      <c r="G106" s="2" t="s">
        <v>111</v>
      </c>
      <c r="H106" s="2" t="s">
        <v>423</v>
      </c>
      <c r="I106" s="2" t="s">
        <v>59</v>
      </c>
      <c r="J106" s="2" t="s">
        <v>56</v>
      </c>
      <c r="K106" s="2" t="s">
        <v>60</v>
      </c>
      <c r="L106" s="2" t="s">
        <v>311</v>
      </c>
      <c r="M106" s="1" t="s">
        <v>61</v>
      </c>
      <c r="N106" s="2" t="str">
        <f t="shared" si="1"/>
        <v>Hombre Canelones FA oficialista_acerrimo</v>
      </c>
      <c r="O106" s="2" t="s">
        <v>67</v>
      </c>
      <c r="P106" s="6" t="s">
        <v>1302</v>
      </c>
      <c r="Q106" s="7" t="s">
        <v>165</v>
      </c>
      <c r="R106" s="7" t="s">
        <v>386</v>
      </c>
      <c r="S106" s="7" t="s">
        <v>437</v>
      </c>
      <c r="T106" s="7"/>
      <c r="U106" s="8" t="s">
        <v>387</v>
      </c>
      <c r="V106" s="8" t="s">
        <v>388</v>
      </c>
      <c r="W106" s="2" t="s">
        <v>62</v>
      </c>
      <c r="X106" s="2" t="s">
        <v>1303</v>
      </c>
      <c r="Y106" s="8" t="s">
        <v>266</v>
      </c>
      <c r="Z106" s="8" t="s">
        <v>267</v>
      </c>
      <c r="AA106" s="3" t="s">
        <v>1303</v>
      </c>
      <c r="AB106" s="7" t="s">
        <v>270</v>
      </c>
      <c r="AC106" s="7"/>
      <c r="AD106" s="7"/>
      <c r="AE106" s="2" t="s">
        <v>1304</v>
      </c>
      <c r="AF106" s="9">
        <v>501.0</v>
      </c>
      <c r="AG106" s="9"/>
      <c r="AH106" s="9"/>
      <c r="AI106" s="9"/>
      <c r="AJ106" s="9"/>
      <c r="AK106" s="9"/>
      <c r="AL106" s="2" t="s">
        <v>1305</v>
      </c>
      <c r="AM106" s="5" t="s">
        <v>1306</v>
      </c>
      <c r="AN106" s="9">
        <v>203.0</v>
      </c>
      <c r="AO106" s="9">
        <v>201.0</v>
      </c>
      <c r="AP106" s="9">
        <v>103.0</v>
      </c>
      <c r="AQ106" s="9"/>
      <c r="AR106" s="9"/>
      <c r="AS106" s="2" t="s">
        <v>123</v>
      </c>
      <c r="AT106" s="2" t="s">
        <v>1307</v>
      </c>
      <c r="AU106" s="9">
        <v>204.0</v>
      </c>
      <c r="AV106" s="9"/>
      <c r="AW106" s="9"/>
      <c r="AX106" s="2" t="s">
        <v>1308</v>
      </c>
      <c r="AY106" s="1" t="s">
        <v>142</v>
      </c>
      <c r="AZ106" s="1" t="s">
        <v>78</v>
      </c>
      <c r="BA106" s="2" t="s">
        <v>242</v>
      </c>
      <c r="BB106" s="2" t="s">
        <v>1309</v>
      </c>
      <c r="BC106" s="1" t="s">
        <v>107</v>
      </c>
    </row>
    <row r="107" ht="15.75" customHeight="1">
      <c r="A107" s="2">
        <f t="shared" si="2"/>
        <v>106</v>
      </c>
      <c r="B107" s="2" t="s">
        <v>1310</v>
      </c>
      <c r="C107" s="2" t="s">
        <v>83</v>
      </c>
      <c r="D107" s="2" t="s">
        <v>84</v>
      </c>
      <c r="E107" s="2" t="s">
        <v>1311</v>
      </c>
      <c r="F107" s="2" t="s">
        <v>56</v>
      </c>
      <c r="G107" s="2" t="s">
        <v>111</v>
      </c>
      <c r="H107" s="2" t="s">
        <v>1312</v>
      </c>
      <c r="I107" s="2" t="s">
        <v>59</v>
      </c>
      <c r="J107" s="2" t="s">
        <v>56</v>
      </c>
      <c r="K107" s="2" t="s">
        <v>60</v>
      </c>
      <c r="L107" s="2" t="s">
        <v>374</v>
      </c>
      <c r="M107" s="1" t="s">
        <v>61</v>
      </c>
      <c r="N107" s="2" t="str">
        <f t="shared" si="1"/>
        <v>Mujer Canelones FA desinformadas</v>
      </c>
      <c r="O107" s="2" t="s">
        <v>88</v>
      </c>
      <c r="P107" s="6" t="s">
        <v>102</v>
      </c>
      <c r="Q107" s="7" t="s">
        <v>336</v>
      </c>
      <c r="R107" s="7"/>
      <c r="S107" s="7"/>
      <c r="T107" s="7"/>
      <c r="U107" s="8" t="s">
        <v>337</v>
      </c>
      <c r="V107" s="8" t="s">
        <v>338</v>
      </c>
      <c r="W107" s="2" t="s">
        <v>88</v>
      </c>
      <c r="X107" s="2" t="s">
        <v>102</v>
      </c>
      <c r="Y107" s="8" t="s">
        <v>118</v>
      </c>
      <c r="Z107" s="8" t="s">
        <v>119</v>
      </c>
      <c r="AA107" s="3" t="s">
        <v>102</v>
      </c>
      <c r="AB107" s="7" t="s">
        <v>120</v>
      </c>
      <c r="AC107" s="7"/>
      <c r="AD107" s="7"/>
      <c r="AE107" s="2" t="s">
        <v>1313</v>
      </c>
      <c r="AF107" s="9">
        <v>503.0</v>
      </c>
      <c r="AG107" s="9"/>
      <c r="AH107" s="9"/>
      <c r="AI107" s="9"/>
      <c r="AJ107" s="9"/>
      <c r="AK107" s="9"/>
      <c r="AL107" s="2" t="s">
        <v>1313</v>
      </c>
      <c r="AM107" s="5" t="s">
        <v>1313</v>
      </c>
      <c r="AN107" s="9">
        <v>403.0</v>
      </c>
      <c r="AO107" s="9"/>
      <c r="AP107" s="9"/>
      <c r="AQ107" s="9"/>
      <c r="AR107" s="9"/>
      <c r="AS107" s="2" t="s">
        <v>102</v>
      </c>
      <c r="AT107" s="2" t="s">
        <v>1314</v>
      </c>
      <c r="AU107" s="9">
        <v>402.0</v>
      </c>
      <c r="AV107" s="9"/>
      <c r="AW107" s="9"/>
      <c r="AX107" s="2" t="s">
        <v>1315</v>
      </c>
      <c r="AY107" s="1" t="s">
        <v>77</v>
      </c>
      <c r="AZ107" s="1" t="s">
        <v>127</v>
      </c>
      <c r="BA107" s="2" t="s">
        <v>79</v>
      </c>
      <c r="BB107" s="2" t="s">
        <v>1316</v>
      </c>
      <c r="BC107" s="1" t="s">
        <v>432</v>
      </c>
    </row>
    <row r="108" ht="15.75" customHeight="1">
      <c r="A108" s="2">
        <f t="shared" si="2"/>
        <v>107</v>
      </c>
      <c r="B108" s="2" t="s">
        <v>1317</v>
      </c>
      <c r="C108" s="2" t="s">
        <v>109</v>
      </c>
      <c r="D108" s="2" t="s">
        <v>84</v>
      </c>
      <c r="E108" s="2" t="s">
        <v>1318</v>
      </c>
      <c r="F108" s="2" t="s">
        <v>278</v>
      </c>
      <c r="G108" s="2" t="s">
        <v>111</v>
      </c>
      <c r="H108" s="2" t="s">
        <v>147</v>
      </c>
      <c r="I108" s="2" t="s">
        <v>59</v>
      </c>
      <c r="J108" s="2" t="s">
        <v>278</v>
      </c>
      <c r="K108" s="2" t="s">
        <v>60</v>
      </c>
      <c r="L108" s="2" t="s">
        <v>311</v>
      </c>
      <c r="M108" s="1" t="s">
        <v>61</v>
      </c>
      <c r="N108" s="2" t="str">
        <f t="shared" si="1"/>
        <v>Mujer Montevideo FA oficialista_acerrimo</v>
      </c>
      <c r="O108" s="2" t="s">
        <v>67</v>
      </c>
      <c r="P108" s="6" t="s">
        <v>1319</v>
      </c>
      <c r="Q108" s="7" t="s">
        <v>165</v>
      </c>
      <c r="R108" s="7"/>
      <c r="S108" s="7"/>
      <c r="T108" s="7"/>
      <c r="U108" s="8" t="s">
        <v>151</v>
      </c>
      <c r="V108" s="8" t="s">
        <v>438</v>
      </c>
      <c r="W108" s="2" t="s">
        <v>62</v>
      </c>
      <c r="X108" s="2" t="s">
        <v>1320</v>
      </c>
      <c r="Y108" s="8" t="s">
        <v>118</v>
      </c>
      <c r="Z108" s="8" t="s">
        <v>119</v>
      </c>
      <c r="AA108" s="3" t="s">
        <v>1320</v>
      </c>
      <c r="AB108" s="7" t="s">
        <v>120</v>
      </c>
      <c r="AC108" s="7"/>
      <c r="AD108" s="7"/>
      <c r="AE108" s="2" t="s">
        <v>1321</v>
      </c>
      <c r="AF108" s="9">
        <v>402.0</v>
      </c>
      <c r="AG108" s="9"/>
      <c r="AH108" s="9"/>
      <c r="AI108" s="9"/>
      <c r="AJ108" s="9"/>
      <c r="AK108" s="9"/>
      <c r="AL108" s="2" t="s">
        <v>1322</v>
      </c>
      <c r="AM108" s="5" t="s">
        <v>1322</v>
      </c>
      <c r="AN108" s="9">
        <v>101.0</v>
      </c>
      <c r="AO108" s="9"/>
      <c r="AP108" s="9"/>
      <c r="AQ108" s="9"/>
      <c r="AR108" s="9"/>
      <c r="AS108" s="2" t="s">
        <v>123</v>
      </c>
      <c r="AT108" s="2" t="s">
        <v>1323</v>
      </c>
      <c r="AU108" s="9">
        <v>401.0</v>
      </c>
      <c r="AV108" s="9"/>
      <c r="AW108" s="9"/>
      <c r="AX108" s="2" t="s">
        <v>1324</v>
      </c>
      <c r="AY108" s="1" t="s">
        <v>646</v>
      </c>
      <c r="AZ108" s="1" t="s">
        <v>127</v>
      </c>
      <c r="BA108" s="2" t="s">
        <v>242</v>
      </c>
      <c r="BB108" s="2" t="s">
        <v>1325</v>
      </c>
      <c r="BC108" s="1" t="s">
        <v>107</v>
      </c>
    </row>
    <row r="109" ht="15.75" customHeight="1">
      <c r="A109" s="2">
        <f t="shared" si="2"/>
        <v>108</v>
      </c>
      <c r="B109" s="2" t="s">
        <v>1326</v>
      </c>
      <c r="C109" s="2" t="s">
        <v>83</v>
      </c>
      <c r="D109" s="2" t="s">
        <v>84</v>
      </c>
      <c r="E109" s="2" t="s">
        <v>1327</v>
      </c>
      <c r="F109" s="2" t="s">
        <v>56</v>
      </c>
      <c r="G109" s="2" t="s">
        <v>232</v>
      </c>
      <c r="H109" s="2" t="s">
        <v>112</v>
      </c>
      <c r="I109" s="2" t="s">
        <v>362</v>
      </c>
      <c r="J109" s="2" t="s">
        <v>56</v>
      </c>
      <c r="K109" s="2" t="s">
        <v>149</v>
      </c>
      <c r="M109" s="1" t="s">
        <v>61</v>
      </c>
      <c r="N109" s="2" t="str">
        <f t="shared" si="1"/>
        <v>Mujer Canelones CM </v>
      </c>
      <c r="O109" s="2" t="s">
        <v>88</v>
      </c>
      <c r="P109" s="6" t="s">
        <v>366</v>
      </c>
      <c r="Q109" s="7" t="s">
        <v>336</v>
      </c>
      <c r="R109" s="7"/>
      <c r="S109" s="7"/>
      <c r="T109" s="7"/>
      <c r="U109" s="8" t="s">
        <v>337</v>
      </c>
      <c r="V109" s="8" t="s">
        <v>477</v>
      </c>
      <c r="W109" s="2" t="s">
        <v>88</v>
      </c>
      <c r="X109" s="2" t="s">
        <v>366</v>
      </c>
      <c r="Y109" s="8" t="s">
        <v>118</v>
      </c>
      <c r="Z109" s="8" t="s">
        <v>119</v>
      </c>
      <c r="AA109" s="3" t="s">
        <v>366</v>
      </c>
      <c r="AB109" s="7" t="s">
        <v>120</v>
      </c>
      <c r="AC109" s="7"/>
      <c r="AD109" s="7"/>
      <c r="AE109" s="2" t="s">
        <v>1328</v>
      </c>
      <c r="AF109" s="9">
        <v>503.0</v>
      </c>
      <c r="AG109" s="9"/>
      <c r="AH109" s="9"/>
      <c r="AI109" s="9"/>
      <c r="AJ109" s="9"/>
      <c r="AK109" s="9"/>
      <c r="AL109" s="2" t="s">
        <v>139</v>
      </c>
      <c r="AM109" s="5" t="s">
        <v>139</v>
      </c>
      <c r="AN109" s="9">
        <v>403.0</v>
      </c>
      <c r="AO109" s="9"/>
      <c r="AP109" s="9"/>
      <c r="AQ109" s="9"/>
      <c r="AR109" s="9"/>
      <c r="AS109" s="2" t="s">
        <v>123</v>
      </c>
      <c r="AT109" s="1" t="s">
        <v>506</v>
      </c>
      <c r="AU109" s="9">
        <v>402.0</v>
      </c>
      <c r="AV109" s="9"/>
      <c r="AW109" s="9"/>
      <c r="AY109" s="1" t="s">
        <v>959</v>
      </c>
      <c r="AZ109" s="1" t="s">
        <v>959</v>
      </c>
      <c r="BC109" s="1" t="s">
        <v>959</v>
      </c>
    </row>
    <row r="110" ht="15.75" customHeight="1">
      <c r="A110" s="2">
        <f t="shared" si="2"/>
        <v>109</v>
      </c>
      <c r="B110" s="2" t="s">
        <v>1329</v>
      </c>
      <c r="C110" s="2" t="s">
        <v>109</v>
      </c>
      <c r="D110" s="2" t="s">
        <v>84</v>
      </c>
      <c r="E110" s="2" t="s">
        <v>1330</v>
      </c>
      <c r="F110" s="2" t="s">
        <v>56</v>
      </c>
      <c r="G110" s="2" t="s">
        <v>57</v>
      </c>
      <c r="H110" s="2" t="s">
        <v>206</v>
      </c>
      <c r="I110" s="2" t="s">
        <v>59</v>
      </c>
      <c r="J110" s="2" t="s">
        <v>56</v>
      </c>
      <c r="K110" s="2" t="s">
        <v>60</v>
      </c>
      <c r="L110" s="2" t="s">
        <v>311</v>
      </c>
      <c r="M110" s="1" t="s">
        <v>61</v>
      </c>
      <c r="N110" s="2" t="str">
        <f t="shared" si="1"/>
        <v>Mujer Canelones FA oficialista_acerrimo</v>
      </c>
      <c r="O110" s="2" t="s">
        <v>67</v>
      </c>
      <c r="P110" s="6" t="s">
        <v>1331</v>
      </c>
      <c r="Q110" s="7" t="s">
        <v>114</v>
      </c>
      <c r="R110" s="7" t="s">
        <v>437</v>
      </c>
      <c r="S110" s="7" t="s">
        <v>1332</v>
      </c>
      <c r="T110" s="7"/>
      <c r="U110" s="8" t="s">
        <v>115</v>
      </c>
      <c r="V110" s="8" t="s">
        <v>116</v>
      </c>
      <c r="W110" s="2" t="s">
        <v>62</v>
      </c>
      <c r="X110" s="2" t="s">
        <v>1333</v>
      </c>
      <c r="Y110" s="8" t="s">
        <v>266</v>
      </c>
      <c r="Z110" s="8" t="s">
        <v>1069</v>
      </c>
      <c r="AA110" s="3" t="s">
        <v>1334</v>
      </c>
      <c r="AB110" s="7" t="s">
        <v>71</v>
      </c>
      <c r="AC110" s="7" t="s">
        <v>270</v>
      </c>
      <c r="AD110" s="7"/>
      <c r="AE110" s="2" t="s">
        <v>1335</v>
      </c>
      <c r="AF110" s="9">
        <v>501.0</v>
      </c>
      <c r="AG110" s="9">
        <v>402.0</v>
      </c>
      <c r="AH110" s="9"/>
      <c r="AI110" s="9"/>
      <c r="AJ110" s="9"/>
      <c r="AK110" s="9"/>
      <c r="AL110" s="2" t="s">
        <v>1336</v>
      </c>
      <c r="AM110" s="5" t="s">
        <v>1337</v>
      </c>
      <c r="AN110" s="9">
        <v>203.0</v>
      </c>
      <c r="AO110" s="9">
        <v>201.0</v>
      </c>
      <c r="AP110" s="9">
        <v>104.0</v>
      </c>
      <c r="AQ110" s="9">
        <v>403.0</v>
      </c>
      <c r="AR110" s="9"/>
      <c r="AS110" s="2" t="s">
        <v>123</v>
      </c>
      <c r="AT110" s="2" t="s">
        <v>1338</v>
      </c>
      <c r="AU110" s="9">
        <v>202.0</v>
      </c>
      <c r="AV110" s="9"/>
      <c r="AW110" s="9"/>
      <c r="AX110" s="2" t="s">
        <v>1339</v>
      </c>
      <c r="AY110" s="1" t="s">
        <v>77</v>
      </c>
      <c r="AZ110" s="1" t="s">
        <v>127</v>
      </c>
      <c r="BA110" s="2" t="s">
        <v>242</v>
      </c>
      <c r="BB110" s="2" t="s">
        <v>1340</v>
      </c>
      <c r="BC110" s="1" t="s">
        <v>161</v>
      </c>
    </row>
    <row r="111" ht="15.75" customHeight="1">
      <c r="A111" s="2">
        <f t="shared" si="2"/>
        <v>110</v>
      </c>
      <c r="B111" s="2" t="s">
        <v>1341</v>
      </c>
      <c r="C111" s="2" t="s">
        <v>83</v>
      </c>
      <c r="D111" s="2" t="s">
        <v>84</v>
      </c>
      <c r="E111" s="2" t="s">
        <v>1342</v>
      </c>
      <c r="F111" s="2" t="s">
        <v>56</v>
      </c>
      <c r="G111" s="2" t="s">
        <v>205</v>
      </c>
      <c r="H111" s="2" t="s">
        <v>615</v>
      </c>
      <c r="I111" s="2" t="s">
        <v>59</v>
      </c>
      <c r="J111" s="2" t="s">
        <v>56</v>
      </c>
      <c r="K111" s="2" t="s">
        <v>60</v>
      </c>
      <c r="L111" s="2" t="s">
        <v>311</v>
      </c>
      <c r="M111" s="1" t="s">
        <v>61</v>
      </c>
      <c r="N111" s="2" t="str">
        <f t="shared" si="1"/>
        <v>Mujer Canelones FA oficialista_acerrimo</v>
      </c>
      <c r="O111" s="2" t="s">
        <v>67</v>
      </c>
      <c r="P111" s="6" t="s">
        <v>1343</v>
      </c>
      <c r="Q111" s="7" t="s">
        <v>165</v>
      </c>
      <c r="R111" s="7"/>
      <c r="S111" s="7"/>
      <c r="T111" s="7"/>
      <c r="U111" s="8" t="s">
        <v>65</v>
      </c>
      <c r="V111" s="8" t="s">
        <v>264</v>
      </c>
      <c r="W111" s="2" t="s">
        <v>62</v>
      </c>
      <c r="X111" s="2" t="s">
        <v>1344</v>
      </c>
      <c r="Y111" s="8" t="s">
        <v>118</v>
      </c>
      <c r="Z111" s="8" t="s">
        <v>440</v>
      </c>
      <c r="AA111" s="3" t="s">
        <v>1344</v>
      </c>
      <c r="AB111" s="7" t="s">
        <v>713</v>
      </c>
      <c r="AC111" s="7"/>
      <c r="AD111" s="7"/>
      <c r="AE111" s="2" t="s">
        <v>1345</v>
      </c>
      <c r="AF111" s="9">
        <v>505.0</v>
      </c>
      <c r="AG111" s="9"/>
      <c r="AH111" s="9"/>
      <c r="AI111" s="9"/>
      <c r="AJ111" s="9"/>
      <c r="AK111" s="9"/>
      <c r="AL111" s="2" t="s">
        <v>1346</v>
      </c>
      <c r="AM111" s="5" t="s">
        <v>1346</v>
      </c>
      <c r="AN111" s="9">
        <v>401.0</v>
      </c>
      <c r="AO111" s="9"/>
      <c r="AP111" s="9"/>
      <c r="AQ111" s="9"/>
      <c r="AR111" s="9"/>
      <c r="AS111" s="2" t="s">
        <v>123</v>
      </c>
      <c r="AT111" s="2" t="s">
        <v>1347</v>
      </c>
      <c r="AU111" s="9">
        <v>201.0</v>
      </c>
      <c r="AV111" s="9"/>
      <c r="AW111" s="9"/>
      <c r="AX111" s="2" t="s">
        <v>1348</v>
      </c>
      <c r="AY111" s="1" t="s">
        <v>142</v>
      </c>
      <c r="AZ111" s="1" t="s">
        <v>127</v>
      </c>
      <c r="BA111" s="2" t="s">
        <v>228</v>
      </c>
      <c r="BB111" s="2" t="s">
        <v>1349</v>
      </c>
      <c r="BC111" s="1" t="s">
        <v>470</v>
      </c>
    </row>
    <row r="112" ht="15.75" customHeight="1">
      <c r="A112" s="2">
        <f t="shared" si="2"/>
        <v>111</v>
      </c>
      <c r="B112" s="2" t="s">
        <v>1350</v>
      </c>
      <c r="C112" s="2" t="s">
        <v>109</v>
      </c>
      <c r="D112" s="2" t="s">
        <v>84</v>
      </c>
      <c r="E112" s="2" t="s">
        <v>1351</v>
      </c>
      <c r="F112" s="2" t="s">
        <v>178</v>
      </c>
      <c r="G112" s="2" t="s">
        <v>232</v>
      </c>
      <c r="H112" s="2" t="s">
        <v>147</v>
      </c>
      <c r="I112" s="2" t="s">
        <v>59</v>
      </c>
      <c r="J112" s="2" t="s">
        <v>180</v>
      </c>
      <c r="K112" s="2" t="s">
        <v>60</v>
      </c>
      <c r="L112" s="2" t="s">
        <v>311</v>
      </c>
      <c r="M112" s="1" t="s">
        <v>61</v>
      </c>
      <c r="N112" s="2" t="str">
        <f t="shared" si="1"/>
        <v>Mujer Interior Frente Amplio FA oficialista_acerrimo</v>
      </c>
      <c r="O112" s="2" t="s">
        <v>88</v>
      </c>
      <c r="P112" s="6" t="s">
        <v>1352</v>
      </c>
      <c r="Q112" s="7" t="s">
        <v>462</v>
      </c>
      <c r="R112" s="7" t="s">
        <v>559</v>
      </c>
      <c r="S112" s="7"/>
      <c r="T112" s="7"/>
      <c r="U112" s="8" t="s">
        <v>135</v>
      </c>
      <c r="V112" s="8" t="s">
        <v>136</v>
      </c>
      <c r="W112" s="2" t="s">
        <v>88</v>
      </c>
      <c r="X112" s="2" t="s">
        <v>1353</v>
      </c>
      <c r="Y112" s="8" t="s">
        <v>118</v>
      </c>
      <c r="Z112" s="8" t="s">
        <v>119</v>
      </c>
      <c r="AA112" s="3" t="s">
        <v>1354</v>
      </c>
      <c r="AB112" s="7" t="s">
        <v>196</v>
      </c>
      <c r="AC112" s="7"/>
      <c r="AD112" s="7"/>
      <c r="AE112" s="2" t="s">
        <v>1355</v>
      </c>
      <c r="AF112" s="9">
        <v>303.0</v>
      </c>
      <c r="AG112" s="9">
        <v>304.0</v>
      </c>
      <c r="AH112" s="9">
        <v>201.0</v>
      </c>
      <c r="AI112" s="9">
        <v>101.0</v>
      </c>
      <c r="AJ112" s="9">
        <v>203.0</v>
      </c>
      <c r="AK112" s="9"/>
      <c r="AL112" s="2" t="s">
        <v>1356</v>
      </c>
      <c r="AM112" s="5" t="s">
        <v>1357</v>
      </c>
      <c r="AN112" s="9">
        <v>402.0</v>
      </c>
      <c r="AO112" s="9"/>
      <c r="AP112" s="9"/>
      <c r="AQ112" s="9"/>
      <c r="AR112" s="9"/>
      <c r="AS112" s="2" t="s">
        <v>123</v>
      </c>
      <c r="AT112" s="2" t="s">
        <v>1358</v>
      </c>
      <c r="AU112" s="9">
        <v>101.0</v>
      </c>
      <c r="AV112" s="9"/>
      <c r="AW112" s="9"/>
      <c r="AX112" s="2" t="s">
        <v>1359</v>
      </c>
      <c r="AY112" s="1" t="s">
        <v>258</v>
      </c>
      <c r="AZ112" s="1" t="s">
        <v>159</v>
      </c>
      <c r="BA112" s="2" t="s">
        <v>174</v>
      </c>
      <c r="BB112" s="2" t="s">
        <v>1360</v>
      </c>
      <c r="BC112" s="1" t="s">
        <v>81</v>
      </c>
    </row>
    <row r="113" ht="15.75" customHeight="1">
      <c r="A113" s="2">
        <f t="shared" si="2"/>
        <v>112</v>
      </c>
      <c r="B113" s="2" t="s">
        <v>1361</v>
      </c>
      <c r="C113" s="2" t="s">
        <v>83</v>
      </c>
      <c r="D113" s="2" t="s">
        <v>84</v>
      </c>
      <c r="E113" s="2" t="s">
        <v>1362</v>
      </c>
      <c r="F113" s="2" t="s">
        <v>178</v>
      </c>
      <c r="G113" s="2" t="s">
        <v>111</v>
      </c>
      <c r="H113" s="2" t="s">
        <v>112</v>
      </c>
      <c r="I113" s="2" t="s">
        <v>59</v>
      </c>
      <c r="J113" s="2" t="s">
        <v>180</v>
      </c>
      <c r="K113" s="2" t="s">
        <v>60</v>
      </c>
      <c r="L113" s="2" t="s">
        <v>311</v>
      </c>
      <c r="M113" s="1" t="s">
        <v>61</v>
      </c>
      <c r="N113" s="2" t="str">
        <f t="shared" si="1"/>
        <v>Mujer Interior Frente Amplio FA oficialista_acerrimo</v>
      </c>
      <c r="O113" s="2" t="s">
        <v>67</v>
      </c>
      <c r="P113" s="6" t="s">
        <v>1363</v>
      </c>
      <c r="Q113" s="7" t="s">
        <v>386</v>
      </c>
      <c r="R113" s="7" t="s">
        <v>165</v>
      </c>
      <c r="S113" s="7"/>
      <c r="T113" s="7"/>
      <c r="U113" s="8" t="s">
        <v>387</v>
      </c>
      <c r="V113" s="8" t="s">
        <v>388</v>
      </c>
      <c r="W113" s="2" t="s">
        <v>62</v>
      </c>
      <c r="X113" s="2" t="s">
        <v>1364</v>
      </c>
      <c r="Y113" s="8" t="s">
        <v>266</v>
      </c>
      <c r="Z113" s="8" t="s">
        <v>314</v>
      </c>
      <c r="AA113" s="3" t="s">
        <v>1365</v>
      </c>
      <c r="AB113" s="7" t="s">
        <v>270</v>
      </c>
      <c r="AC113" s="7"/>
      <c r="AD113" s="7"/>
      <c r="AE113" s="2" t="s">
        <v>1366</v>
      </c>
      <c r="AF113" s="9">
        <v>201.0</v>
      </c>
      <c r="AG113" s="9">
        <v>101.0</v>
      </c>
      <c r="AH113" s="9"/>
      <c r="AI113" s="9"/>
      <c r="AJ113" s="9"/>
      <c r="AK113" s="9"/>
      <c r="AL113" s="2" t="s">
        <v>1367</v>
      </c>
      <c r="AM113" s="5" t="s">
        <v>1367</v>
      </c>
      <c r="AN113" s="9">
        <v>201.0</v>
      </c>
      <c r="AO113" s="9"/>
      <c r="AP113" s="9"/>
      <c r="AQ113" s="9"/>
      <c r="AR113" s="9"/>
      <c r="AS113" s="2" t="s">
        <v>123</v>
      </c>
      <c r="AT113" s="2" t="s">
        <v>1368</v>
      </c>
      <c r="AU113" s="9">
        <v>204.0</v>
      </c>
      <c r="AV113" s="9">
        <v>401.0</v>
      </c>
      <c r="AW113" s="9"/>
      <c r="AX113" s="2" t="s">
        <v>1369</v>
      </c>
      <c r="AY113" s="1" t="s">
        <v>105</v>
      </c>
      <c r="AZ113" s="1" t="s">
        <v>227</v>
      </c>
      <c r="BA113" s="2" t="s">
        <v>79</v>
      </c>
      <c r="BB113" s="2" t="s">
        <v>1370</v>
      </c>
      <c r="BC113" s="1" t="s">
        <v>107</v>
      </c>
    </row>
    <row r="114" ht="15.75" customHeight="1">
      <c r="A114" s="2">
        <f t="shared" si="2"/>
        <v>113</v>
      </c>
      <c r="B114" s="2" t="s">
        <v>1371</v>
      </c>
      <c r="C114" s="2" t="s">
        <v>83</v>
      </c>
      <c r="D114" s="2" t="s">
        <v>84</v>
      </c>
      <c r="E114" s="2" t="s">
        <v>1372</v>
      </c>
      <c r="F114" s="2" t="s">
        <v>56</v>
      </c>
      <c r="G114" s="2" t="s">
        <v>86</v>
      </c>
      <c r="H114" s="2" t="s">
        <v>1373</v>
      </c>
      <c r="I114" s="2" t="s">
        <v>362</v>
      </c>
      <c r="J114" s="2" t="s">
        <v>56</v>
      </c>
      <c r="K114" s="2" t="s">
        <v>149</v>
      </c>
      <c r="L114" s="2" t="s">
        <v>409</v>
      </c>
      <c r="M114" s="1" t="s">
        <v>61</v>
      </c>
      <c r="N114" s="2" t="str">
        <f t="shared" si="1"/>
        <v>Mujer Canelones CM dialoguista</v>
      </c>
      <c r="O114" s="2" t="s">
        <v>88</v>
      </c>
      <c r="P114" s="6" t="s">
        <v>1374</v>
      </c>
      <c r="Q114" s="7" t="s">
        <v>1375</v>
      </c>
      <c r="R114" s="7"/>
      <c r="S114" s="7"/>
      <c r="T114" s="7"/>
      <c r="U114" s="8" t="s">
        <v>91</v>
      </c>
      <c r="V114" s="8" t="s">
        <v>92</v>
      </c>
      <c r="W114" s="2" t="s">
        <v>88</v>
      </c>
      <c r="X114" s="2" t="s">
        <v>1376</v>
      </c>
      <c r="Y114" s="8" t="s">
        <v>94</v>
      </c>
      <c r="Z114" s="8" t="s">
        <v>941</v>
      </c>
      <c r="AA114" s="3" t="s">
        <v>1377</v>
      </c>
      <c r="AB114" s="7" t="s">
        <v>155</v>
      </c>
      <c r="AC114" s="7" t="s">
        <v>98</v>
      </c>
      <c r="AD114" s="7"/>
      <c r="AE114" s="2" t="s">
        <v>1378</v>
      </c>
      <c r="AF114" s="9">
        <v>101.0</v>
      </c>
      <c r="AG114" s="9">
        <v>102.0</v>
      </c>
      <c r="AH114" s="9">
        <v>303.0</v>
      </c>
      <c r="AI114" s="9"/>
      <c r="AJ114" s="9"/>
      <c r="AK114" s="9"/>
      <c r="AL114" s="2" t="s">
        <v>1379</v>
      </c>
      <c r="AM114" s="5" t="s">
        <v>1380</v>
      </c>
      <c r="AN114" s="9">
        <v>402.0</v>
      </c>
      <c r="AO114" s="9"/>
      <c r="AP114" s="9"/>
      <c r="AQ114" s="9"/>
      <c r="AR114" s="9"/>
      <c r="AS114" s="2" t="s">
        <v>123</v>
      </c>
      <c r="AT114" s="2" t="s">
        <v>1381</v>
      </c>
      <c r="AU114" s="9">
        <v>201.0</v>
      </c>
      <c r="AV114" s="9"/>
      <c r="AW114" s="9"/>
      <c r="AX114" s="2" t="s">
        <v>1382</v>
      </c>
      <c r="AY114" s="1" t="s">
        <v>126</v>
      </c>
      <c r="AZ114" s="1" t="s">
        <v>129</v>
      </c>
      <c r="BA114" s="2" t="s">
        <v>228</v>
      </c>
      <c r="BB114" s="2" t="s">
        <v>1383</v>
      </c>
      <c r="BC114" s="1" t="s">
        <v>107</v>
      </c>
    </row>
    <row r="115" ht="15.75" customHeight="1">
      <c r="A115" s="2">
        <f t="shared" si="2"/>
        <v>114</v>
      </c>
      <c r="B115" s="2" t="s">
        <v>1384</v>
      </c>
      <c r="C115" s="2" t="s">
        <v>83</v>
      </c>
      <c r="D115" s="2" t="s">
        <v>84</v>
      </c>
      <c r="E115" s="2" t="s">
        <v>1385</v>
      </c>
      <c r="F115" s="2" t="s">
        <v>56</v>
      </c>
      <c r="G115" s="2" t="s">
        <v>111</v>
      </c>
      <c r="H115" s="2" t="s">
        <v>147</v>
      </c>
      <c r="I115" s="2" t="s">
        <v>59</v>
      </c>
      <c r="J115" s="2" t="s">
        <v>56</v>
      </c>
      <c r="K115" s="2" t="s">
        <v>60</v>
      </c>
      <c r="L115" s="2" t="s">
        <v>628</v>
      </c>
      <c r="M115" s="1" t="s">
        <v>61</v>
      </c>
      <c r="N115" s="2" t="str">
        <f t="shared" si="1"/>
        <v>Mujer Canelones FA descreidas/alejadas</v>
      </c>
      <c r="O115" s="2" t="s">
        <v>88</v>
      </c>
      <c r="P115" s="6" t="s">
        <v>1386</v>
      </c>
      <c r="Q115" s="7" t="s">
        <v>64</v>
      </c>
      <c r="R115" s="7"/>
      <c r="S115" s="7"/>
      <c r="T115" s="7"/>
      <c r="U115" s="8" t="s">
        <v>248</v>
      </c>
      <c r="V115" s="8" t="s">
        <v>560</v>
      </c>
      <c r="W115" s="2" t="s">
        <v>67</v>
      </c>
      <c r="X115" s="2" t="s">
        <v>1387</v>
      </c>
      <c r="Y115" s="8" t="s">
        <v>69</v>
      </c>
      <c r="Z115" s="8" t="s">
        <v>70</v>
      </c>
      <c r="AA115" s="3" t="s">
        <v>1387</v>
      </c>
      <c r="AB115" s="7" t="s">
        <v>71</v>
      </c>
      <c r="AC115" s="7"/>
      <c r="AD115" s="7"/>
      <c r="AE115" s="2" t="s">
        <v>1388</v>
      </c>
      <c r="AF115" s="9">
        <v>301.0</v>
      </c>
      <c r="AG115" s="9"/>
      <c r="AH115" s="9"/>
      <c r="AI115" s="9"/>
      <c r="AJ115" s="9"/>
      <c r="AK115" s="9"/>
      <c r="AL115" s="2" t="s">
        <v>1389</v>
      </c>
      <c r="AM115" s="5" t="s">
        <v>1389</v>
      </c>
      <c r="AN115" s="9">
        <v>101.0</v>
      </c>
      <c r="AO115" s="9"/>
      <c r="AP115" s="9"/>
      <c r="AQ115" s="9"/>
      <c r="AR115" s="9"/>
      <c r="AS115" s="2" t="s">
        <v>139</v>
      </c>
      <c r="AT115" s="2" t="s">
        <v>1390</v>
      </c>
      <c r="AU115" s="9">
        <v>101.0</v>
      </c>
      <c r="AV115" s="9"/>
      <c r="AW115" s="9"/>
      <c r="AX115" s="2" t="s">
        <v>1391</v>
      </c>
      <c r="AY115" s="1" t="s">
        <v>142</v>
      </c>
      <c r="AZ115" s="1" t="s">
        <v>129</v>
      </c>
      <c r="BA115" s="2" t="s">
        <v>79</v>
      </c>
      <c r="BB115" s="2" t="s">
        <v>1392</v>
      </c>
      <c r="BC115" s="1" t="s">
        <v>107</v>
      </c>
    </row>
    <row r="116" ht="15.75" customHeight="1">
      <c r="A116" s="2">
        <f t="shared" si="2"/>
        <v>115</v>
      </c>
      <c r="B116" s="2" t="s">
        <v>1393</v>
      </c>
      <c r="C116" s="2" t="s">
        <v>83</v>
      </c>
      <c r="D116" s="2" t="s">
        <v>84</v>
      </c>
      <c r="E116" s="2" t="s">
        <v>1394</v>
      </c>
      <c r="F116" s="2" t="s">
        <v>56</v>
      </c>
      <c r="G116" s="2" t="s">
        <v>86</v>
      </c>
      <c r="H116" s="2" t="s">
        <v>1395</v>
      </c>
      <c r="I116" s="2" t="s">
        <v>59</v>
      </c>
      <c r="J116" s="2" t="s">
        <v>56</v>
      </c>
      <c r="K116" s="2" t="s">
        <v>60</v>
      </c>
      <c r="M116" s="1" t="s">
        <v>61</v>
      </c>
      <c r="N116" s="2" t="str">
        <f t="shared" si="1"/>
        <v>Mujer Canelones FA </v>
      </c>
      <c r="O116" s="2" t="s">
        <v>67</v>
      </c>
      <c r="P116" s="10" t="s">
        <v>1396</v>
      </c>
      <c r="Q116" s="7" t="s">
        <v>437</v>
      </c>
      <c r="R116" s="7" t="s">
        <v>1230</v>
      </c>
      <c r="S116" s="7" t="s">
        <v>1332</v>
      </c>
      <c r="T116" s="7" t="s">
        <v>134</v>
      </c>
      <c r="U116" s="8" t="s">
        <v>450</v>
      </c>
      <c r="V116" s="8" t="s">
        <v>723</v>
      </c>
      <c r="W116" s="2" t="s">
        <v>62</v>
      </c>
      <c r="X116" s="2" t="s">
        <v>1397</v>
      </c>
      <c r="Y116" s="8" t="s">
        <v>266</v>
      </c>
      <c r="Z116" s="8" t="s">
        <v>314</v>
      </c>
      <c r="AA116" s="3" t="s">
        <v>1398</v>
      </c>
      <c r="AB116" s="7" t="s">
        <v>270</v>
      </c>
      <c r="AC116" s="7" t="s">
        <v>237</v>
      </c>
      <c r="AD116" s="7"/>
      <c r="AE116" s="2" t="s">
        <v>1399</v>
      </c>
      <c r="AF116" s="9">
        <v>403.0</v>
      </c>
      <c r="AG116" s="9">
        <v>302.0</v>
      </c>
      <c r="AH116" s="9">
        <v>401.0</v>
      </c>
      <c r="AI116" s="9">
        <v>403.0</v>
      </c>
      <c r="AJ116" s="9"/>
      <c r="AK116" s="9"/>
      <c r="AL116" s="2" t="s">
        <v>1400</v>
      </c>
      <c r="AM116" s="5" t="s">
        <v>1401</v>
      </c>
      <c r="AN116" s="9">
        <v>203.0</v>
      </c>
      <c r="AO116" s="9"/>
      <c r="AP116" s="9"/>
      <c r="AQ116" s="9"/>
      <c r="AR116" s="9"/>
      <c r="AS116" s="2" t="s">
        <v>123</v>
      </c>
      <c r="AT116" s="2" t="s">
        <v>1402</v>
      </c>
      <c r="AU116" s="9">
        <v>203.0</v>
      </c>
      <c r="AV116" s="9">
        <v>204.0</v>
      </c>
      <c r="AW116" s="9"/>
      <c r="AX116" s="2" t="s">
        <v>1403</v>
      </c>
      <c r="AY116" s="1" t="s">
        <v>126</v>
      </c>
      <c r="AZ116" s="1" t="s">
        <v>227</v>
      </c>
      <c r="BA116" s="2" t="s">
        <v>79</v>
      </c>
      <c r="BB116" s="2" t="s">
        <v>1404</v>
      </c>
      <c r="BC116" s="1" t="s">
        <v>432</v>
      </c>
    </row>
    <row r="117" ht="15.75" customHeight="1">
      <c r="A117" s="2">
        <f t="shared" si="2"/>
        <v>116</v>
      </c>
      <c r="B117" s="2" t="s">
        <v>1405</v>
      </c>
      <c r="C117" s="2" t="s">
        <v>53</v>
      </c>
      <c r="D117" s="2" t="s">
        <v>84</v>
      </c>
      <c r="E117" s="2" t="s">
        <v>1406</v>
      </c>
      <c r="F117" s="2" t="s">
        <v>768</v>
      </c>
      <c r="G117" s="2" t="s">
        <v>57</v>
      </c>
      <c r="H117" s="2" t="s">
        <v>1407</v>
      </c>
      <c r="I117" s="2" t="s">
        <v>246</v>
      </c>
      <c r="J117" s="2" t="s">
        <v>296</v>
      </c>
      <c r="K117" s="2" t="s">
        <v>149</v>
      </c>
      <c r="M117" s="1" t="s">
        <v>61</v>
      </c>
      <c r="N117" s="2" t="str">
        <f t="shared" si="1"/>
        <v>Mujer Interior Coalición CM </v>
      </c>
      <c r="O117" s="2" t="s">
        <v>62</v>
      </c>
      <c r="P117" s="6" t="s">
        <v>1408</v>
      </c>
      <c r="Q117" s="7" t="s">
        <v>64</v>
      </c>
      <c r="R117" s="7"/>
      <c r="S117" s="7"/>
      <c r="T117" s="7"/>
      <c r="U117" s="8" t="s">
        <v>151</v>
      </c>
      <c r="V117" s="8" t="s">
        <v>300</v>
      </c>
      <c r="W117" s="2" t="s">
        <v>67</v>
      </c>
      <c r="X117" s="2" t="s">
        <v>1409</v>
      </c>
      <c r="Y117" s="8" t="s">
        <v>118</v>
      </c>
      <c r="Z117" s="8" t="s">
        <v>536</v>
      </c>
      <c r="AA117" s="3" t="s">
        <v>1409</v>
      </c>
      <c r="AB117" s="7" t="s">
        <v>71</v>
      </c>
      <c r="AC117" s="7"/>
      <c r="AD117" s="7"/>
      <c r="AE117" s="2" t="s">
        <v>1410</v>
      </c>
      <c r="AF117" s="9">
        <v>402.0</v>
      </c>
      <c r="AG117" s="9"/>
      <c r="AH117" s="9"/>
      <c r="AI117" s="9"/>
      <c r="AJ117" s="9"/>
      <c r="AK117" s="9"/>
      <c r="AL117" s="2" t="s">
        <v>1411</v>
      </c>
      <c r="AM117" s="5" t="s">
        <v>1411</v>
      </c>
      <c r="AN117" s="9">
        <v>101.0</v>
      </c>
      <c r="AO117" s="9"/>
      <c r="AP117" s="9"/>
      <c r="AQ117" s="9"/>
      <c r="AR117" s="9"/>
      <c r="AS117" s="2" t="s">
        <v>139</v>
      </c>
      <c r="AT117" s="2" t="s">
        <v>1412</v>
      </c>
      <c r="AU117" s="9">
        <v>303.0</v>
      </c>
      <c r="AV117" s="9"/>
      <c r="AW117" s="9"/>
      <c r="AX117" s="2" t="s">
        <v>1413</v>
      </c>
      <c r="AY117" s="1" t="s">
        <v>646</v>
      </c>
      <c r="AZ117" s="1" t="s">
        <v>127</v>
      </c>
      <c r="BA117" s="2" t="s">
        <v>79</v>
      </c>
      <c r="BB117" s="2" t="s">
        <v>1414</v>
      </c>
      <c r="BC117" s="1" t="s">
        <v>470</v>
      </c>
    </row>
    <row r="118" ht="15.75" customHeight="1">
      <c r="A118" s="2">
        <f t="shared" si="2"/>
        <v>117</v>
      </c>
      <c r="B118" s="2" t="s">
        <v>1415</v>
      </c>
      <c r="C118" s="2" t="s">
        <v>109</v>
      </c>
      <c r="D118" s="2" t="s">
        <v>84</v>
      </c>
      <c r="E118" s="2" t="s">
        <v>1416</v>
      </c>
      <c r="F118" s="2" t="s">
        <v>56</v>
      </c>
      <c r="G118" s="2" t="s">
        <v>57</v>
      </c>
      <c r="H118" s="2" t="s">
        <v>1417</v>
      </c>
      <c r="I118" s="2" t="s">
        <v>59</v>
      </c>
      <c r="J118" s="2" t="s">
        <v>56</v>
      </c>
      <c r="K118" s="2" t="s">
        <v>60</v>
      </c>
      <c r="L118" s="2" t="s">
        <v>311</v>
      </c>
      <c r="M118" s="1" t="s">
        <v>61</v>
      </c>
      <c r="N118" s="2" t="str">
        <f t="shared" si="1"/>
        <v>Mujer Canelones FA oficialista_acerrimo</v>
      </c>
      <c r="O118" s="2" t="s">
        <v>62</v>
      </c>
      <c r="P118" s="6" t="s">
        <v>1418</v>
      </c>
      <c r="Q118" s="7" t="s">
        <v>462</v>
      </c>
      <c r="R118" s="7" t="s">
        <v>208</v>
      </c>
      <c r="S118" s="7"/>
      <c r="T118" s="7"/>
      <c r="U118" s="8" t="s">
        <v>115</v>
      </c>
      <c r="V118" s="8" t="s">
        <v>209</v>
      </c>
      <c r="W118" s="2" t="s">
        <v>88</v>
      </c>
      <c r="X118" s="2" t="s">
        <v>1419</v>
      </c>
      <c r="Y118" s="8" t="s">
        <v>194</v>
      </c>
      <c r="Z118" s="8" t="s">
        <v>212</v>
      </c>
      <c r="AA118" s="3" t="s">
        <v>1419</v>
      </c>
      <c r="AB118" s="7" t="s">
        <v>214</v>
      </c>
      <c r="AC118" s="7" t="s">
        <v>196</v>
      </c>
      <c r="AD118" s="7"/>
      <c r="AE118" s="2" t="s">
        <v>1420</v>
      </c>
      <c r="AF118" s="9">
        <v>204.0</v>
      </c>
      <c r="AG118" s="9">
        <v>201.0</v>
      </c>
      <c r="AH118" s="9"/>
      <c r="AI118" s="9"/>
      <c r="AJ118" s="9"/>
      <c r="AK118" s="9"/>
      <c r="AL118" s="2" t="s">
        <v>1421</v>
      </c>
      <c r="AM118" s="5" t="s">
        <v>1421</v>
      </c>
      <c r="AN118" s="9">
        <v>206.0</v>
      </c>
      <c r="AO118" s="9">
        <v>101.0</v>
      </c>
      <c r="AP118" s="9">
        <v>103.0</v>
      </c>
      <c r="AQ118" s="9"/>
      <c r="AR118" s="9"/>
      <c r="AS118" s="2" t="s">
        <v>123</v>
      </c>
      <c r="AT118" s="2" t="s">
        <v>1422</v>
      </c>
      <c r="AU118" s="9">
        <v>203.0</v>
      </c>
      <c r="AV118" s="9"/>
      <c r="AW118" s="9"/>
      <c r="AX118" s="2" t="s">
        <v>1423</v>
      </c>
      <c r="AY118" s="1" t="s">
        <v>258</v>
      </c>
      <c r="AZ118" s="1" t="s">
        <v>159</v>
      </c>
      <c r="BA118" s="2" t="s">
        <v>79</v>
      </c>
      <c r="BB118" s="2" t="s">
        <v>1424</v>
      </c>
      <c r="BC118" s="1" t="s">
        <v>107</v>
      </c>
    </row>
    <row r="119" ht="15.75" customHeight="1">
      <c r="A119" s="2">
        <f t="shared" si="2"/>
        <v>118</v>
      </c>
      <c r="B119" s="2" t="s">
        <v>1425</v>
      </c>
      <c r="C119" s="2" t="s">
        <v>83</v>
      </c>
      <c r="D119" s="2" t="s">
        <v>84</v>
      </c>
      <c r="E119" s="2" t="s">
        <v>1426</v>
      </c>
      <c r="F119" s="2" t="s">
        <v>56</v>
      </c>
      <c r="G119" s="2" t="s">
        <v>205</v>
      </c>
      <c r="H119" s="2" t="s">
        <v>310</v>
      </c>
      <c r="I119" s="2" t="s">
        <v>59</v>
      </c>
      <c r="J119" s="2" t="s">
        <v>56</v>
      </c>
      <c r="K119" s="2" t="s">
        <v>60</v>
      </c>
      <c r="L119" s="2" t="s">
        <v>409</v>
      </c>
      <c r="M119" s="1" t="s">
        <v>61</v>
      </c>
      <c r="N119" s="2" t="str">
        <f t="shared" si="1"/>
        <v>Mujer Canelones FA dialoguista</v>
      </c>
      <c r="O119" s="2" t="s">
        <v>88</v>
      </c>
      <c r="P119" s="6" t="s">
        <v>1427</v>
      </c>
      <c r="Q119" s="7" t="s">
        <v>64</v>
      </c>
      <c r="R119" s="7"/>
      <c r="S119" s="7"/>
      <c r="T119" s="7"/>
      <c r="U119" s="8" t="s">
        <v>248</v>
      </c>
      <c r="V119" s="8" t="s">
        <v>784</v>
      </c>
      <c r="W119" s="2" t="s">
        <v>67</v>
      </c>
      <c r="X119" s="2" t="s">
        <v>1428</v>
      </c>
      <c r="Y119" s="8" t="s">
        <v>251</v>
      </c>
      <c r="Z119" s="8" t="s">
        <v>252</v>
      </c>
      <c r="AA119" s="3" t="s">
        <v>1429</v>
      </c>
      <c r="AB119" s="7" t="s">
        <v>71</v>
      </c>
      <c r="AC119" s="7"/>
      <c r="AD119" s="7"/>
      <c r="AE119" s="2" t="s">
        <v>1430</v>
      </c>
      <c r="AF119" s="9">
        <v>402.0</v>
      </c>
      <c r="AG119" s="9">
        <v>401.0</v>
      </c>
      <c r="AH119" s="9"/>
      <c r="AI119" s="9"/>
      <c r="AJ119" s="9"/>
      <c r="AK119" s="9"/>
      <c r="AL119" s="2" t="s">
        <v>1431</v>
      </c>
      <c r="AM119" s="5" t="s">
        <v>1431</v>
      </c>
      <c r="AN119" s="9">
        <v>402.0</v>
      </c>
      <c r="AO119" s="9"/>
      <c r="AP119" s="9"/>
      <c r="AQ119" s="9"/>
      <c r="AR119" s="9"/>
      <c r="AS119" s="2" t="s">
        <v>123</v>
      </c>
      <c r="AT119" s="2" t="s">
        <v>1432</v>
      </c>
      <c r="AU119" s="9">
        <v>201.0</v>
      </c>
      <c r="AV119" s="9"/>
      <c r="AW119" s="9"/>
      <c r="AX119" s="2" t="s">
        <v>1433</v>
      </c>
      <c r="AY119" s="1" t="s">
        <v>142</v>
      </c>
      <c r="AZ119" s="1" t="s">
        <v>78</v>
      </c>
      <c r="BA119" s="2" t="s">
        <v>174</v>
      </c>
      <c r="BB119" s="2" t="s">
        <v>1434</v>
      </c>
      <c r="BC119" s="1" t="s">
        <v>144</v>
      </c>
    </row>
    <row r="120" ht="15.75" customHeight="1">
      <c r="A120" s="2">
        <f t="shared" si="2"/>
        <v>119</v>
      </c>
      <c r="B120" s="2" t="s">
        <v>1435</v>
      </c>
      <c r="C120" s="2" t="s">
        <v>109</v>
      </c>
      <c r="D120" s="2" t="s">
        <v>84</v>
      </c>
      <c r="E120" s="2" t="s">
        <v>1436</v>
      </c>
      <c r="F120" s="2" t="s">
        <v>56</v>
      </c>
      <c r="G120" s="2" t="s">
        <v>86</v>
      </c>
      <c r="H120" s="2" t="s">
        <v>1437</v>
      </c>
      <c r="I120" s="2" t="s">
        <v>362</v>
      </c>
      <c r="J120" s="2" t="s">
        <v>56</v>
      </c>
      <c r="K120" s="2" t="s">
        <v>149</v>
      </c>
      <c r="L120" s="2" t="s">
        <v>475</v>
      </c>
      <c r="M120" s="1" t="s">
        <v>61</v>
      </c>
      <c r="N120" s="2" t="str">
        <f t="shared" si="1"/>
        <v>Mujer Canelones CM oposicion_cerril</v>
      </c>
      <c r="O120" s="2" t="s">
        <v>62</v>
      </c>
      <c r="P120" s="6" t="s">
        <v>1293</v>
      </c>
      <c r="Q120" s="7" t="s">
        <v>64</v>
      </c>
      <c r="R120" s="7"/>
      <c r="S120" s="7"/>
      <c r="T120" s="7"/>
      <c r="U120" s="8" t="s">
        <v>151</v>
      </c>
      <c r="V120" s="8" t="s">
        <v>300</v>
      </c>
      <c r="W120" s="2" t="s">
        <v>67</v>
      </c>
      <c r="X120" s="2" t="s">
        <v>1438</v>
      </c>
      <c r="Y120" s="8" t="s">
        <v>118</v>
      </c>
      <c r="Z120" s="8" t="s">
        <v>536</v>
      </c>
      <c r="AA120" s="3" t="s">
        <v>1438</v>
      </c>
      <c r="AB120" s="7" t="s">
        <v>71</v>
      </c>
      <c r="AC120" s="7"/>
      <c r="AD120" s="7"/>
      <c r="AE120" s="2" t="s">
        <v>1439</v>
      </c>
      <c r="AF120" s="9">
        <v>503.0</v>
      </c>
      <c r="AG120" s="9">
        <v>502.0</v>
      </c>
      <c r="AH120" s="9"/>
      <c r="AI120" s="9"/>
      <c r="AJ120" s="9"/>
      <c r="AK120" s="9"/>
      <c r="AL120" s="2" t="s">
        <v>139</v>
      </c>
      <c r="AM120" s="5" t="s">
        <v>139</v>
      </c>
      <c r="AN120" s="9">
        <v>403.0</v>
      </c>
      <c r="AO120" s="9"/>
      <c r="AP120" s="9"/>
      <c r="AQ120" s="9"/>
      <c r="AR120" s="9"/>
      <c r="AS120" s="2" t="s">
        <v>74</v>
      </c>
      <c r="AT120" s="2" t="s">
        <v>1440</v>
      </c>
      <c r="AU120" s="9">
        <v>102.0</v>
      </c>
      <c r="AV120" s="9"/>
      <c r="AW120" s="9"/>
      <c r="AX120" s="2" t="s">
        <v>1441</v>
      </c>
      <c r="AY120" s="1" t="s">
        <v>646</v>
      </c>
      <c r="AZ120" s="1" t="s">
        <v>127</v>
      </c>
      <c r="BA120" s="2" t="s">
        <v>174</v>
      </c>
      <c r="BB120" s="2" t="s">
        <v>1442</v>
      </c>
      <c r="BC120" s="1" t="s">
        <v>107</v>
      </c>
    </row>
    <row r="121" ht="15.75" customHeight="1">
      <c r="A121" s="2">
        <f t="shared" si="2"/>
        <v>120</v>
      </c>
      <c r="B121" s="2" t="s">
        <v>1443</v>
      </c>
      <c r="C121" s="2" t="s">
        <v>83</v>
      </c>
      <c r="D121" s="2" t="s">
        <v>54</v>
      </c>
      <c r="E121" s="2" t="s">
        <v>1444</v>
      </c>
      <c r="F121" s="2" t="s">
        <v>56</v>
      </c>
      <c r="G121" s="2" t="s">
        <v>57</v>
      </c>
      <c r="H121" s="2" t="s">
        <v>993</v>
      </c>
      <c r="I121" s="2" t="s">
        <v>59</v>
      </c>
      <c r="J121" s="2" t="s">
        <v>56</v>
      </c>
      <c r="K121" s="2" t="s">
        <v>60</v>
      </c>
      <c r="L121" s="2" t="s">
        <v>311</v>
      </c>
      <c r="M121" s="1" t="s">
        <v>61</v>
      </c>
      <c r="N121" s="2" t="str">
        <f t="shared" si="1"/>
        <v>Hombre Canelones FA oficialista_acerrimo</v>
      </c>
      <c r="O121" s="2" t="s">
        <v>67</v>
      </c>
      <c r="P121" s="6" t="s">
        <v>1445</v>
      </c>
      <c r="Q121" s="7" t="s">
        <v>165</v>
      </c>
      <c r="R121" s="7"/>
      <c r="S121" s="7"/>
      <c r="T121" s="7"/>
      <c r="U121" s="8" t="s">
        <v>65</v>
      </c>
      <c r="V121" s="8" t="s">
        <v>264</v>
      </c>
      <c r="W121" s="2" t="s">
        <v>62</v>
      </c>
      <c r="X121" s="2" t="s">
        <v>1446</v>
      </c>
      <c r="Y121" s="8" t="s">
        <v>266</v>
      </c>
      <c r="Z121" s="8" t="s">
        <v>314</v>
      </c>
      <c r="AA121" s="3" t="s">
        <v>1446</v>
      </c>
      <c r="AB121" s="7" t="s">
        <v>270</v>
      </c>
      <c r="AC121" s="7"/>
      <c r="AD121" s="7"/>
      <c r="AE121" s="2" t="s">
        <v>1447</v>
      </c>
      <c r="AF121" s="9">
        <v>402.0</v>
      </c>
      <c r="AG121" s="9"/>
      <c r="AH121" s="9"/>
      <c r="AI121" s="9"/>
      <c r="AJ121" s="9"/>
      <c r="AK121" s="9"/>
      <c r="AL121" s="2" t="s">
        <v>1448</v>
      </c>
      <c r="AM121" s="5" t="s">
        <v>1448</v>
      </c>
      <c r="AN121" s="9">
        <v>403.0</v>
      </c>
      <c r="AO121" s="9"/>
      <c r="AP121" s="9"/>
      <c r="AQ121" s="9"/>
      <c r="AR121" s="9"/>
      <c r="AS121" s="2" t="s">
        <v>123</v>
      </c>
      <c r="AT121" s="2" t="s">
        <v>1449</v>
      </c>
      <c r="AU121" s="9">
        <v>401.0</v>
      </c>
      <c r="AV121" s="9">
        <v>204.0</v>
      </c>
      <c r="AW121" s="9"/>
      <c r="AX121" s="2" t="s">
        <v>1450</v>
      </c>
      <c r="AY121" s="1" t="s">
        <v>77</v>
      </c>
      <c r="AZ121" s="1" t="s">
        <v>127</v>
      </c>
      <c r="BA121" s="2" t="s">
        <v>242</v>
      </c>
      <c r="BB121" s="2" t="s">
        <v>1313</v>
      </c>
      <c r="BC121" s="1" t="s">
        <v>432</v>
      </c>
    </row>
    <row r="122" ht="15.75" customHeight="1">
      <c r="A122" s="2">
        <f t="shared" si="2"/>
        <v>121</v>
      </c>
      <c r="B122" s="2" t="s">
        <v>1451</v>
      </c>
      <c r="C122" s="2" t="s">
        <v>83</v>
      </c>
      <c r="D122" s="2" t="s">
        <v>54</v>
      </c>
      <c r="E122" s="2" t="s">
        <v>1452</v>
      </c>
      <c r="F122" s="2" t="s">
        <v>56</v>
      </c>
      <c r="G122" s="2" t="s">
        <v>86</v>
      </c>
      <c r="H122" s="2" t="s">
        <v>1453</v>
      </c>
      <c r="I122" s="2" t="s">
        <v>59</v>
      </c>
      <c r="J122" s="2" t="s">
        <v>56</v>
      </c>
      <c r="K122" s="2" t="s">
        <v>60</v>
      </c>
      <c r="L122" s="2" t="s">
        <v>311</v>
      </c>
      <c r="M122" s="1" t="s">
        <v>61</v>
      </c>
      <c r="N122" s="2" t="str">
        <f t="shared" si="1"/>
        <v>Hombre Canelones FA oficialista_acerrimo</v>
      </c>
      <c r="O122" s="2" t="s">
        <v>88</v>
      </c>
      <c r="P122" s="6" t="s">
        <v>1454</v>
      </c>
      <c r="Q122" s="7" t="s">
        <v>64</v>
      </c>
      <c r="R122" s="7" t="s">
        <v>134</v>
      </c>
      <c r="S122" s="7"/>
      <c r="T122" s="7"/>
      <c r="U122" s="8" t="s">
        <v>135</v>
      </c>
      <c r="V122" s="8" t="s">
        <v>136</v>
      </c>
      <c r="W122" s="2" t="s">
        <v>62</v>
      </c>
      <c r="X122" s="2" t="s">
        <v>1455</v>
      </c>
      <c r="Y122" s="8" t="s">
        <v>1006</v>
      </c>
      <c r="Z122" s="8" t="s">
        <v>1456</v>
      </c>
      <c r="AA122" s="3" t="s">
        <v>1457</v>
      </c>
      <c r="AB122" s="7" t="s">
        <v>98</v>
      </c>
      <c r="AC122" s="7" t="s">
        <v>71</v>
      </c>
      <c r="AD122" s="7" t="s">
        <v>270</v>
      </c>
      <c r="AE122" s="2" t="s">
        <v>1458</v>
      </c>
      <c r="AF122" s="9">
        <v>503.0</v>
      </c>
      <c r="AG122" s="9"/>
      <c r="AH122" s="9"/>
      <c r="AI122" s="9"/>
      <c r="AJ122" s="9"/>
      <c r="AK122" s="9"/>
      <c r="AL122" s="2" t="s">
        <v>1459</v>
      </c>
      <c r="AM122" s="5" t="s">
        <v>1460</v>
      </c>
      <c r="AN122" s="9">
        <v>101.0</v>
      </c>
      <c r="AO122" s="9"/>
      <c r="AP122" s="9"/>
      <c r="AQ122" s="9"/>
      <c r="AR122" s="9"/>
      <c r="AS122" s="2" t="s">
        <v>123</v>
      </c>
      <c r="AT122" s="2" t="s">
        <v>1461</v>
      </c>
      <c r="AU122" s="9">
        <v>202.0</v>
      </c>
      <c r="AV122" s="9">
        <v>203.0</v>
      </c>
      <c r="AW122" s="9"/>
      <c r="AX122" s="2" t="s">
        <v>1462</v>
      </c>
      <c r="AY122" s="1" t="s">
        <v>142</v>
      </c>
      <c r="AZ122" s="1" t="s">
        <v>78</v>
      </c>
      <c r="BA122" s="2" t="s">
        <v>242</v>
      </c>
      <c r="BB122" s="2" t="s">
        <v>1463</v>
      </c>
      <c r="BC122" s="1" t="s">
        <v>81</v>
      </c>
    </row>
    <row r="123" ht="15.75" customHeight="1">
      <c r="A123" s="2">
        <f t="shared" si="2"/>
        <v>122</v>
      </c>
      <c r="B123" s="2" t="s">
        <v>1464</v>
      </c>
      <c r="C123" s="2" t="s">
        <v>83</v>
      </c>
      <c r="D123" s="2" t="s">
        <v>84</v>
      </c>
      <c r="E123" s="2" t="s">
        <v>1465</v>
      </c>
      <c r="F123" s="2" t="s">
        <v>56</v>
      </c>
      <c r="G123" s="2" t="s">
        <v>57</v>
      </c>
      <c r="H123" s="2" t="s">
        <v>1466</v>
      </c>
      <c r="I123" s="2" t="s">
        <v>148</v>
      </c>
      <c r="J123" s="2" t="s">
        <v>56</v>
      </c>
      <c r="K123" s="2" t="s">
        <v>149</v>
      </c>
      <c r="L123" s="2" t="s">
        <v>628</v>
      </c>
      <c r="M123" s="1" t="s">
        <v>61</v>
      </c>
      <c r="N123" s="2" t="str">
        <f t="shared" si="1"/>
        <v>Mujer Canelones CM descreidas/alejadas</v>
      </c>
      <c r="O123" s="2" t="s">
        <v>62</v>
      </c>
      <c r="P123" s="6" t="s">
        <v>1467</v>
      </c>
      <c r="Q123" s="7" t="s">
        <v>558</v>
      </c>
      <c r="R123" s="7" t="s">
        <v>462</v>
      </c>
      <c r="S123" s="7" t="s">
        <v>559</v>
      </c>
      <c r="T123" s="7"/>
      <c r="U123" s="8" t="s">
        <v>450</v>
      </c>
      <c r="V123" s="8" t="s">
        <v>451</v>
      </c>
      <c r="W123" s="2" t="s">
        <v>67</v>
      </c>
      <c r="X123" s="2" t="s">
        <v>1468</v>
      </c>
      <c r="Y123" s="8" t="s">
        <v>194</v>
      </c>
      <c r="Z123" s="8" t="s">
        <v>748</v>
      </c>
      <c r="AA123" s="3" t="s">
        <v>1469</v>
      </c>
      <c r="AB123" s="7" t="s">
        <v>737</v>
      </c>
      <c r="AC123" s="7"/>
      <c r="AD123" s="7"/>
      <c r="AE123" s="2" t="s">
        <v>1470</v>
      </c>
      <c r="AF123" s="9">
        <v>404.0</v>
      </c>
      <c r="AG123" s="9">
        <v>402.0</v>
      </c>
      <c r="AH123" s="9"/>
      <c r="AI123" s="9"/>
      <c r="AJ123" s="9"/>
      <c r="AK123" s="9"/>
      <c r="AL123" s="2" t="s">
        <v>1061</v>
      </c>
      <c r="AM123" s="5" t="s">
        <v>1061</v>
      </c>
      <c r="AN123" s="9">
        <v>101.0</v>
      </c>
      <c r="AO123" s="9"/>
      <c r="AP123" s="9"/>
      <c r="AQ123" s="9"/>
      <c r="AR123" s="9"/>
      <c r="AS123" s="2" t="s">
        <v>74</v>
      </c>
      <c r="AT123" s="2" t="s">
        <v>1471</v>
      </c>
      <c r="AU123" s="9">
        <v>102.0</v>
      </c>
      <c r="AV123" s="9"/>
      <c r="AW123" s="9"/>
      <c r="AX123" s="2" t="s">
        <v>1472</v>
      </c>
      <c r="AY123" s="1" t="s">
        <v>258</v>
      </c>
      <c r="AZ123" s="1" t="s">
        <v>78</v>
      </c>
      <c r="BA123" s="2" t="s">
        <v>79</v>
      </c>
      <c r="BB123" s="2" t="s">
        <v>1473</v>
      </c>
      <c r="BC123" s="1" t="s">
        <v>129</v>
      </c>
    </row>
    <row r="124" ht="15.75" customHeight="1">
      <c r="A124" s="2">
        <f t="shared" si="2"/>
        <v>123</v>
      </c>
      <c r="B124" s="2" t="s">
        <v>1474</v>
      </c>
      <c r="C124" s="2" t="s">
        <v>53</v>
      </c>
      <c r="D124" s="2" t="s">
        <v>54</v>
      </c>
      <c r="E124" s="2" t="s">
        <v>1475</v>
      </c>
      <c r="F124" s="2" t="s">
        <v>768</v>
      </c>
      <c r="G124" s="2" t="s">
        <v>57</v>
      </c>
      <c r="H124" s="2" t="s">
        <v>58</v>
      </c>
      <c r="I124" s="2" t="s">
        <v>1175</v>
      </c>
      <c r="J124" s="2" t="s">
        <v>296</v>
      </c>
      <c r="K124" s="2" t="s">
        <v>149</v>
      </c>
      <c r="L124" s="2" t="s">
        <v>374</v>
      </c>
      <c r="M124" s="1" t="s">
        <v>61</v>
      </c>
      <c r="N124" s="2" t="str">
        <f t="shared" si="1"/>
        <v>Hombre Interior Coalición CM desinformadas</v>
      </c>
      <c r="O124" s="2" t="s">
        <v>88</v>
      </c>
      <c r="P124" s="6" t="s">
        <v>1476</v>
      </c>
      <c r="Q124" s="7" t="s">
        <v>336</v>
      </c>
      <c r="R124" s="7"/>
      <c r="S124" s="7"/>
      <c r="T124" s="7"/>
      <c r="U124" s="8" t="s">
        <v>337</v>
      </c>
      <c r="V124" s="8" t="s">
        <v>338</v>
      </c>
      <c r="W124" s="2" t="s">
        <v>67</v>
      </c>
      <c r="X124" s="2" t="s">
        <v>1477</v>
      </c>
      <c r="Y124" s="8" t="s">
        <v>118</v>
      </c>
      <c r="Z124" s="8" t="s">
        <v>536</v>
      </c>
      <c r="AA124" s="3" t="s">
        <v>1477</v>
      </c>
      <c r="AB124" s="7" t="s">
        <v>120</v>
      </c>
      <c r="AC124" s="7"/>
      <c r="AD124" s="7"/>
      <c r="AE124" s="2" t="s">
        <v>1478</v>
      </c>
      <c r="AF124" s="9">
        <v>202.0</v>
      </c>
      <c r="AG124" s="9"/>
      <c r="AH124" s="9"/>
      <c r="AI124" s="9"/>
      <c r="AJ124" s="9"/>
      <c r="AK124" s="9"/>
      <c r="AL124" s="2" t="s">
        <v>1479</v>
      </c>
      <c r="AM124" s="5" t="s">
        <v>1479</v>
      </c>
      <c r="AN124" s="9">
        <v>500.0</v>
      </c>
      <c r="AO124" s="9"/>
      <c r="AP124" s="9"/>
      <c r="AQ124" s="9"/>
      <c r="AR124" s="9"/>
      <c r="AS124" s="2" t="s">
        <v>139</v>
      </c>
      <c r="AT124" s="2" t="s">
        <v>1480</v>
      </c>
      <c r="AU124" s="9">
        <v>303.0</v>
      </c>
      <c r="AV124" s="9"/>
      <c r="AW124" s="9"/>
      <c r="AX124" s="2" t="s">
        <v>1481</v>
      </c>
      <c r="AY124" s="1" t="s">
        <v>77</v>
      </c>
      <c r="AZ124" s="1" t="s">
        <v>127</v>
      </c>
      <c r="BA124" s="2" t="s">
        <v>79</v>
      </c>
      <c r="BB124" s="2" t="s">
        <v>1482</v>
      </c>
      <c r="BC124" s="1" t="s">
        <v>81</v>
      </c>
    </row>
    <row r="125" ht="15.75" customHeight="1">
      <c r="A125" s="2">
        <f t="shared" si="2"/>
        <v>124</v>
      </c>
      <c r="B125" s="2" t="s">
        <v>1483</v>
      </c>
      <c r="C125" s="2" t="s">
        <v>83</v>
      </c>
      <c r="D125" s="2" t="s">
        <v>84</v>
      </c>
      <c r="E125" s="2" t="s">
        <v>1484</v>
      </c>
      <c r="F125" s="2" t="s">
        <v>56</v>
      </c>
      <c r="G125" s="2" t="s">
        <v>205</v>
      </c>
      <c r="H125" s="2" t="s">
        <v>206</v>
      </c>
      <c r="I125" s="2" t="s">
        <v>59</v>
      </c>
      <c r="J125" s="2" t="s">
        <v>56</v>
      </c>
      <c r="K125" s="2" t="s">
        <v>60</v>
      </c>
      <c r="L125" s="2" t="s">
        <v>311</v>
      </c>
      <c r="M125" s="1" t="s">
        <v>61</v>
      </c>
      <c r="N125" s="2" t="str">
        <f t="shared" si="1"/>
        <v>Mujer Canelones FA oficialista_acerrimo</v>
      </c>
      <c r="O125" s="2" t="s">
        <v>67</v>
      </c>
      <c r="P125" s="6" t="s">
        <v>1485</v>
      </c>
      <c r="Q125" s="7" t="s">
        <v>165</v>
      </c>
      <c r="R125" s="7"/>
      <c r="S125" s="7"/>
      <c r="T125" s="7"/>
      <c r="U125" s="8" t="s">
        <v>248</v>
      </c>
      <c r="V125" s="8" t="s">
        <v>1486</v>
      </c>
      <c r="W125" s="2" t="s">
        <v>62</v>
      </c>
      <c r="X125" s="2" t="s">
        <v>1487</v>
      </c>
      <c r="Y125" s="8" t="s">
        <v>266</v>
      </c>
      <c r="Z125" s="8" t="s">
        <v>314</v>
      </c>
      <c r="AA125" s="3" t="s">
        <v>1488</v>
      </c>
      <c r="AB125" s="7" t="s">
        <v>270</v>
      </c>
      <c r="AC125" s="7"/>
      <c r="AD125" s="7"/>
      <c r="AE125" s="2" t="s">
        <v>1489</v>
      </c>
      <c r="AF125" s="9">
        <v>501.0</v>
      </c>
      <c r="AG125" s="9"/>
      <c r="AH125" s="9"/>
      <c r="AI125" s="9"/>
      <c r="AJ125" s="9"/>
      <c r="AK125" s="9"/>
      <c r="AL125" s="2" t="s">
        <v>1490</v>
      </c>
      <c r="AM125" s="5" t="s">
        <v>1490</v>
      </c>
      <c r="AN125" s="9">
        <v>201.0</v>
      </c>
      <c r="AO125" s="9"/>
      <c r="AP125" s="9"/>
      <c r="AQ125" s="9"/>
      <c r="AR125" s="9"/>
      <c r="AS125" s="2" t="s">
        <v>123</v>
      </c>
      <c r="AT125" s="2" t="s">
        <v>1491</v>
      </c>
      <c r="AU125" s="9">
        <v>204.0</v>
      </c>
      <c r="AV125" s="9"/>
      <c r="AW125" s="9"/>
      <c r="AX125" s="2" t="s">
        <v>1492</v>
      </c>
      <c r="AY125" s="1" t="s">
        <v>142</v>
      </c>
      <c r="AZ125" s="1" t="s">
        <v>187</v>
      </c>
      <c r="BA125" s="2" t="s">
        <v>228</v>
      </c>
      <c r="BB125" s="2" t="s">
        <v>1493</v>
      </c>
      <c r="BC125" s="1" t="s">
        <v>144</v>
      </c>
    </row>
    <row r="126" ht="15.75" customHeight="1">
      <c r="A126" s="2">
        <f t="shared" si="2"/>
        <v>125</v>
      </c>
      <c r="B126" s="2" t="s">
        <v>1494</v>
      </c>
      <c r="C126" s="2" t="s">
        <v>53</v>
      </c>
      <c r="D126" s="2" t="s">
        <v>54</v>
      </c>
      <c r="E126" s="2" t="s">
        <v>1495</v>
      </c>
      <c r="F126" s="2" t="s">
        <v>56</v>
      </c>
      <c r="G126" s="2" t="s">
        <v>57</v>
      </c>
      <c r="H126" s="2" t="s">
        <v>1496</v>
      </c>
      <c r="I126" s="2" t="s">
        <v>59</v>
      </c>
      <c r="J126" s="2" t="s">
        <v>56</v>
      </c>
      <c r="K126" s="2" t="s">
        <v>60</v>
      </c>
      <c r="M126" s="1" t="s">
        <v>61</v>
      </c>
      <c r="N126" s="2" t="str">
        <f t="shared" si="1"/>
        <v>Hombre Canelones FA </v>
      </c>
      <c r="O126" s="2" t="s">
        <v>67</v>
      </c>
      <c r="P126" s="6" t="s">
        <v>1497</v>
      </c>
      <c r="Q126" s="7" t="s">
        <v>165</v>
      </c>
      <c r="R126" s="7"/>
      <c r="S126" s="7"/>
      <c r="T126" s="7"/>
      <c r="U126" s="8" t="s">
        <v>151</v>
      </c>
      <c r="V126" s="8" t="s">
        <v>438</v>
      </c>
      <c r="W126" s="2" t="s">
        <v>62</v>
      </c>
      <c r="X126" s="2" t="s">
        <v>1498</v>
      </c>
      <c r="Y126" s="8" t="s">
        <v>194</v>
      </c>
      <c r="Z126" s="8" t="s">
        <v>212</v>
      </c>
      <c r="AA126" s="3" t="s">
        <v>1499</v>
      </c>
      <c r="AB126" s="7" t="s">
        <v>214</v>
      </c>
      <c r="AC126" s="7" t="s">
        <v>97</v>
      </c>
      <c r="AD126" s="7" t="s">
        <v>270</v>
      </c>
      <c r="AE126" s="2" t="s">
        <v>1500</v>
      </c>
      <c r="AF126" s="9">
        <v>505.0</v>
      </c>
      <c r="AG126" s="9"/>
      <c r="AH126" s="9"/>
      <c r="AI126" s="9"/>
      <c r="AJ126" s="9"/>
      <c r="AK126" s="9"/>
      <c r="AL126" s="2" t="s">
        <v>1501</v>
      </c>
      <c r="AM126" s="5" t="s">
        <v>1501</v>
      </c>
      <c r="AN126" s="9">
        <v>204.0</v>
      </c>
      <c r="AO126" s="9"/>
      <c r="AP126" s="9"/>
      <c r="AQ126" s="9"/>
      <c r="AR126" s="9"/>
      <c r="AS126" s="2" t="s">
        <v>123</v>
      </c>
      <c r="AT126" s="2" t="s">
        <v>1502</v>
      </c>
      <c r="AU126" s="9">
        <v>202.0</v>
      </c>
      <c r="AV126" s="9">
        <v>204.0</v>
      </c>
      <c r="AW126" s="9"/>
      <c r="AX126" s="2" t="s">
        <v>1503</v>
      </c>
      <c r="AY126" s="1" t="s">
        <v>105</v>
      </c>
      <c r="AZ126" s="1" t="s">
        <v>159</v>
      </c>
      <c r="BA126" s="2" t="s">
        <v>174</v>
      </c>
      <c r="BB126" s="2" t="s">
        <v>1504</v>
      </c>
      <c r="BC126" s="1" t="s">
        <v>161</v>
      </c>
    </row>
    <row r="127" ht="15.75" customHeight="1">
      <c r="A127" s="2">
        <f t="shared" si="2"/>
        <v>126</v>
      </c>
      <c r="B127" s="2" t="s">
        <v>1505</v>
      </c>
      <c r="C127" s="2" t="s">
        <v>83</v>
      </c>
      <c r="D127" s="2" t="s">
        <v>54</v>
      </c>
      <c r="E127" s="2" t="s">
        <v>1506</v>
      </c>
      <c r="F127" s="2" t="s">
        <v>56</v>
      </c>
      <c r="G127" s="2" t="s">
        <v>232</v>
      </c>
      <c r="H127" s="2" t="s">
        <v>310</v>
      </c>
      <c r="I127" s="2" t="s">
        <v>59</v>
      </c>
      <c r="J127" s="2" t="s">
        <v>56</v>
      </c>
      <c r="K127" s="2" t="s">
        <v>60</v>
      </c>
      <c r="M127" s="1" t="s">
        <v>61</v>
      </c>
      <c r="N127" s="2" t="str">
        <f t="shared" si="1"/>
        <v>Hombre Canelones FA </v>
      </c>
      <c r="O127" s="2" t="s">
        <v>67</v>
      </c>
      <c r="P127" s="6" t="s">
        <v>1507</v>
      </c>
      <c r="Q127" s="7" t="s">
        <v>165</v>
      </c>
      <c r="R127" s="7" t="s">
        <v>114</v>
      </c>
      <c r="S127" s="7"/>
      <c r="T127" s="7"/>
      <c r="U127" s="8" t="s">
        <v>115</v>
      </c>
      <c r="V127" s="8" t="s">
        <v>116</v>
      </c>
      <c r="W127" s="2" t="s">
        <v>67</v>
      </c>
      <c r="X127" s="2" t="s">
        <v>1508</v>
      </c>
      <c r="Y127" s="8" t="s">
        <v>69</v>
      </c>
      <c r="Z127" s="8" t="s">
        <v>70</v>
      </c>
      <c r="AA127" s="3" t="s">
        <v>1508</v>
      </c>
      <c r="AB127" s="7" t="s">
        <v>71</v>
      </c>
      <c r="AC127" s="7"/>
      <c r="AD127" s="7"/>
      <c r="AE127" s="2" t="s">
        <v>1509</v>
      </c>
      <c r="AF127" s="9">
        <v>301.0</v>
      </c>
      <c r="AG127" s="9">
        <v>101.0</v>
      </c>
      <c r="AH127" s="9"/>
      <c r="AI127" s="9"/>
      <c r="AJ127" s="9"/>
      <c r="AK127" s="9"/>
      <c r="AL127" s="2" t="s">
        <v>139</v>
      </c>
      <c r="AM127" s="5" t="s">
        <v>139</v>
      </c>
      <c r="AN127" s="9">
        <v>403.0</v>
      </c>
      <c r="AO127" s="9"/>
      <c r="AP127" s="9"/>
      <c r="AQ127" s="9"/>
      <c r="AR127" s="9"/>
      <c r="AS127" s="2" t="s">
        <v>102</v>
      </c>
      <c r="AT127" s="2" t="s">
        <v>1510</v>
      </c>
      <c r="AU127" s="9">
        <v>101.0</v>
      </c>
      <c r="AV127" s="9"/>
      <c r="AW127" s="9"/>
      <c r="AX127" s="2" t="s">
        <v>1511</v>
      </c>
      <c r="AY127" s="1" t="s">
        <v>105</v>
      </c>
      <c r="AZ127" s="1" t="s">
        <v>127</v>
      </c>
      <c r="BA127" s="2" t="s">
        <v>79</v>
      </c>
      <c r="BB127" s="2" t="s">
        <v>1512</v>
      </c>
      <c r="BC127" s="1" t="s">
        <v>432</v>
      </c>
    </row>
    <row r="128" ht="15.75" customHeight="1">
      <c r="A128" s="2">
        <f t="shared" si="2"/>
        <v>127</v>
      </c>
      <c r="B128" s="2" t="s">
        <v>1361</v>
      </c>
      <c r="C128" s="2" t="s">
        <v>83</v>
      </c>
      <c r="D128" s="2" t="s">
        <v>84</v>
      </c>
      <c r="E128" s="2" t="s">
        <v>1513</v>
      </c>
      <c r="F128" s="2" t="s">
        <v>360</v>
      </c>
      <c r="G128" s="2" t="s">
        <v>86</v>
      </c>
      <c r="H128" s="2" t="s">
        <v>1514</v>
      </c>
      <c r="I128" s="2" t="s">
        <v>59</v>
      </c>
      <c r="J128" s="2" t="s">
        <v>180</v>
      </c>
      <c r="K128" s="2" t="s">
        <v>60</v>
      </c>
      <c r="M128" s="1" t="s">
        <v>61</v>
      </c>
      <c r="N128" s="2" t="str">
        <f t="shared" si="1"/>
        <v>Mujer Interior Frente Amplio FA </v>
      </c>
      <c r="O128" s="2" t="s">
        <v>88</v>
      </c>
      <c r="P128" s="6" t="s">
        <v>1515</v>
      </c>
      <c r="Q128" s="7" t="s">
        <v>64</v>
      </c>
      <c r="R128" s="7" t="s">
        <v>699</v>
      </c>
      <c r="S128" s="7"/>
      <c r="T128" s="7"/>
      <c r="U128" s="8" t="s">
        <v>248</v>
      </c>
      <c r="V128" s="8" t="s">
        <v>560</v>
      </c>
      <c r="W128" s="2" t="s">
        <v>62</v>
      </c>
      <c r="X128" s="2" t="s">
        <v>1516</v>
      </c>
      <c r="Y128" s="8" t="s">
        <v>69</v>
      </c>
      <c r="Z128" s="8" t="s">
        <v>1517</v>
      </c>
      <c r="AA128" s="3" t="s">
        <v>1518</v>
      </c>
      <c r="AB128" s="7" t="s">
        <v>270</v>
      </c>
      <c r="AC128" s="7" t="s">
        <v>237</v>
      </c>
      <c r="AD128" s="7"/>
      <c r="AE128" s="2" t="s">
        <v>1519</v>
      </c>
      <c r="AF128" s="9">
        <v>301.0</v>
      </c>
      <c r="AG128" s="9">
        <v>302.0</v>
      </c>
      <c r="AH128" s="9">
        <v>201.0</v>
      </c>
      <c r="AI128" s="9">
        <v>304.0</v>
      </c>
      <c r="AJ128" s="9">
        <v>303.0</v>
      </c>
      <c r="AK128" s="9">
        <v>103.0</v>
      </c>
      <c r="AL128" s="2" t="s">
        <v>1520</v>
      </c>
      <c r="AM128" s="5" t="s">
        <v>1520</v>
      </c>
      <c r="AN128" s="9">
        <v>206.0</v>
      </c>
      <c r="AO128" s="9"/>
      <c r="AP128" s="9"/>
      <c r="AQ128" s="9"/>
      <c r="AR128" s="9"/>
      <c r="AS128" s="2" t="s">
        <v>123</v>
      </c>
      <c r="AT128" s="2" t="s">
        <v>1521</v>
      </c>
      <c r="AU128" s="9">
        <v>202.0</v>
      </c>
      <c r="AV128" s="9">
        <v>101.0</v>
      </c>
      <c r="AW128" s="9"/>
      <c r="AX128" s="2" t="s">
        <v>1522</v>
      </c>
      <c r="AY128" s="1" t="s">
        <v>142</v>
      </c>
      <c r="AZ128" s="1" t="s">
        <v>127</v>
      </c>
      <c r="BA128" s="2" t="s">
        <v>79</v>
      </c>
      <c r="BB128" s="2" t="s">
        <v>1523</v>
      </c>
      <c r="BC128" s="1" t="s">
        <v>144</v>
      </c>
    </row>
    <row r="129" ht="15.75" customHeight="1">
      <c r="A129" s="2">
        <f t="shared" si="2"/>
        <v>128</v>
      </c>
      <c r="B129" s="2" t="s">
        <v>1524</v>
      </c>
      <c r="C129" s="2" t="s">
        <v>83</v>
      </c>
      <c r="D129" s="2" t="s">
        <v>84</v>
      </c>
      <c r="E129" s="2" t="s">
        <v>1525</v>
      </c>
      <c r="F129" s="2" t="s">
        <v>56</v>
      </c>
      <c r="G129" s="2" t="s">
        <v>86</v>
      </c>
      <c r="H129" s="2" t="s">
        <v>1526</v>
      </c>
      <c r="I129" s="2" t="s">
        <v>59</v>
      </c>
      <c r="J129" s="2" t="s">
        <v>56</v>
      </c>
      <c r="K129" s="2" t="s">
        <v>60</v>
      </c>
      <c r="M129" s="1" t="s">
        <v>61</v>
      </c>
      <c r="N129" s="2" t="str">
        <f t="shared" si="1"/>
        <v>Mujer Canelones FA </v>
      </c>
      <c r="O129" s="2" t="s">
        <v>67</v>
      </c>
      <c r="P129" s="6" t="s">
        <v>1527</v>
      </c>
      <c r="Q129" s="7" t="s">
        <v>134</v>
      </c>
      <c r="R129" s="7" t="s">
        <v>1332</v>
      </c>
      <c r="S129" s="7" t="s">
        <v>437</v>
      </c>
      <c r="T129" s="7"/>
      <c r="U129" s="8" t="s">
        <v>771</v>
      </c>
      <c r="V129" s="8" t="s">
        <v>905</v>
      </c>
      <c r="W129" s="2" t="s">
        <v>62</v>
      </c>
      <c r="X129" s="2" t="s">
        <v>1528</v>
      </c>
      <c r="Y129" s="8" t="s">
        <v>266</v>
      </c>
      <c r="Z129" s="8" t="s">
        <v>314</v>
      </c>
      <c r="AA129" s="3" t="s">
        <v>1529</v>
      </c>
      <c r="AB129" s="7" t="s">
        <v>237</v>
      </c>
      <c r="AC129" s="7" t="s">
        <v>270</v>
      </c>
      <c r="AD129" s="7"/>
      <c r="AE129" s="2" t="s">
        <v>1530</v>
      </c>
      <c r="AF129" s="9">
        <v>303.0</v>
      </c>
      <c r="AG129" s="9">
        <v>404.0</v>
      </c>
      <c r="AH129" s="9">
        <v>201.0</v>
      </c>
      <c r="AI129" s="9">
        <v>402.0</v>
      </c>
      <c r="AJ129" s="9"/>
      <c r="AK129" s="9"/>
      <c r="AL129" s="2" t="s">
        <v>1531</v>
      </c>
      <c r="AM129" s="5" t="s">
        <v>1532</v>
      </c>
      <c r="AN129" s="9">
        <v>201.0</v>
      </c>
      <c r="AO129" s="9">
        <v>203.0</v>
      </c>
      <c r="AP129" s="9">
        <v>101.0</v>
      </c>
      <c r="AQ129" s="9"/>
      <c r="AR129" s="9"/>
      <c r="AS129" s="2" t="s">
        <v>123</v>
      </c>
      <c r="AT129" s="2" t="s">
        <v>1533</v>
      </c>
      <c r="AU129" s="9">
        <v>201.0</v>
      </c>
      <c r="AV129" s="9">
        <v>204.0</v>
      </c>
      <c r="AW129" s="9"/>
      <c r="AX129" s="2" t="s">
        <v>1534</v>
      </c>
      <c r="AY129" s="1" t="s">
        <v>77</v>
      </c>
      <c r="AZ129" s="1" t="s">
        <v>227</v>
      </c>
      <c r="BA129" s="2" t="s">
        <v>79</v>
      </c>
      <c r="BB129" s="2" t="s">
        <v>1535</v>
      </c>
      <c r="BC129" s="1" t="s">
        <v>161</v>
      </c>
    </row>
    <row r="130" ht="15.75" customHeight="1">
      <c r="A130" s="2">
        <f t="shared" si="2"/>
        <v>129</v>
      </c>
      <c r="B130" s="2" t="s">
        <v>1536</v>
      </c>
      <c r="C130" s="2" t="s">
        <v>83</v>
      </c>
      <c r="D130" s="2" t="s">
        <v>84</v>
      </c>
      <c r="E130" s="2" t="s">
        <v>1537</v>
      </c>
      <c r="F130" s="2" t="s">
        <v>1538</v>
      </c>
      <c r="G130" s="2" t="s">
        <v>86</v>
      </c>
      <c r="H130" s="2" t="s">
        <v>1539</v>
      </c>
      <c r="I130" s="2" t="s">
        <v>59</v>
      </c>
      <c r="J130" s="2" t="s">
        <v>180</v>
      </c>
      <c r="K130" s="2" t="s">
        <v>60</v>
      </c>
      <c r="M130" s="1" t="s">
        <v>61</v>
      </c>
      <c r="N130" s="2" t="str">
        <f t="shared" si="1"/>
        <v>Mujer Interior Frente Amplio FA </v>
      </c>
      <c r="O130" s="2" t="s">
        <v>88</v>
      </c>
      <c r="P130" s="6" t="s">
        <v>1540</v>
      </c>
      <c r="Q130" s="7" t="s">
        <v>336</v>
      </c>
      <c r="R130" s="7"/>
      <c r="S130" s="7"/>
      <c r="T130" s="7"/>
      <c r="U130" s="8" t="s">
        <v>337</v>
      </c>
      <c r="V130" s="8" t="s">
        <v>338</v>
      </c>
      <c r="W130" s="2" t="s">
        <v>62</v>
      </c>
      <c r="X130" s="2" t="s">
        <v>1541</v>
      </c>
      <c r="Y130" s="8" t="s">
        <v>1006</v>
      </c>
      <c r="Z130" s="8" t="s">
        <v>1456</v>
      </c>
      <c r="AA130" s="3" t="s">
        <v>1541</v>
      </c>
      <c r="AB130" s="7" t="s">
        <v>269</v>
      </c>
      <c r="AC130" s="7"/>
      <c r="AD130" s="7"/>
      <c r="AE130" s="2" t="s">
        <v>1542</v>
      </c>
      <c r="AF130" s="9">
        <v>303.0</v>
      </c>
      <c r="AG130" s="9">
        <v>302.0</v>
      </c>
      <c r="AH130" s="9"/>
      <c r="AI130" s="9"/>
      <c r="AJ130" s="9"/>
      <c r="AK130" s="9"/>
      <c r="AL130" s="2" t="s">
        <v>1543</v>
      </c>
      <c r="AM130" s="5" t="s">
        <v>1544</v>
      </c>
      <c r="AN130" s="9">
        <v>203.0</v>
      </c>
      <c r="AO130" s="9">
        <v>206.0</v>
      </c>
      <c r="AP130" s="9">
        <v>204.0</v>
      </c>
      <c r="AQ130" s="9"/>
      <c r="AR130" s="9"/>
      <c r="AS130" s="2" t="s">
        <v>123</v>
      </c>
      <c r="AT130" s="2" t="s">
        <v>1545</v>
      </c>
      <c r="AU130" s="9">
        <v>101.0</v>
      </c>
      <c r="AV130" s="9">
        <v>202.0</v>
      </c>
      <c r="AW130" s="9"/>
      <c r="AX130" s="2" t="s">
        <v>1546</v>
      </c>
      <c r="AY130" s="1" t="s">
        <v>105</v>
      </c>
      <c r="AZ130" s="1" t="s">
        <v>159</v>
      </c>
      <c r="BA130" s="2" t="s">
        <v>79</v>
      </c>
      <c r="BB130" s="2" t="s">
        <v>1547</v>
      </c>
      <c r="BC130" s="1" t="s">
        <v>81</v>
      </c>
    </row>
    <row r="131" ht="15.75" customHeight="1">
      <c r="A131" s="2">
        <f t="shared" si="2"/>
        <v>130</v>
      </c>
      <c r="B131" s="2" t="s">
        <v>1548</v>
      </c>
      <c r="C131" s="2" t="s">
        <v>83</v>
      </c>
      <c r="D131" s="2" t="s">
        <v>54</v>
      </c>
      <c r="E131" s="2" t="s">
        <v>1549</v>
      </c>
      <c r="F131" s="2" t="s">
        <v>768</v>
      </c>
      <c r="H131" s="2" t="s">
        <v>1550</v>
      </c>
      <c r="I131" s="2" t="s">
        <v>59</v>
      </c>
      <c r="J131" s="2" t="s">
        <v>180</v>
      </c>
      <c r="K131" s="2" t="s">
        <v>60</v>
      </c>
      <c r="M131" s="1" t="s">
        <v>61</v>
      </c>
      <c r="N131" s="2" t="str">
        <f t="shared" si="1"/>
        <v>Hombre Interior Frente Amplio FA </v>
      </c>
      <c r="O131" s="2" t="s">
        <v>67</v>
      </c>
      <c r="P131" s="6" t="s">
        <v>1551</v>
      </c>
      <c r="Q131" s="7" t="s">
        <v>133</v>
      </c>
      <c r="R131" s="7"/>
      <c r="S131" s="7"/>
      <c r="T131" s="7"/>
      <c r="U131" s="8" t="s">
        <v>65</v>
      </c>
      <c r="V131" s="8" t="s">
        <v>264</v>
      </c>
      <c r="W131" s="2" t="s">
        <v>67</v>
      </c>
      <c r="X131" s="2" t="s">
        <v>1552</v>
      </c>
      <c r="Y131" s="8" t="s">
        <v>118</v>
      </c>
      <c r="Z131" s="8" t="s">
        <v>536</v>
      </c>
      <c r="AA131" s="3" t="s">
        <v>1552</v>
      </c>
      <c r="AB131" s="7" t="s">
        <v>71</v>
      </c>
      <c r="AC131" s="7"/>
      <c r="AD131" s="7"/>
      <c r="AE131" s="2" t="s">
        <v>1553</v>
      </c>
      <c r="AF131" s="9">
        <v>501.0</v>
      </c>
      <c r="AG131" s="9"/>
      <c r="AH131" s="9"/>
      <c r="AI131" s="9"/>
      <c r="AJ131" s="9"/>
      <c r="AK131" s="9"/>
      <c r="AL131" s="2" t="s">
        <v>1554</v>
      </c>
      <c r="AM131" s="5" t="s">
        <v>1554</v>
      </c>
      <c r="AN131" s="9">
        <v>401.0</v>
      </c>
      <c r="AO131" s="9"/>
      <c r="AP131" s="9"/>
      <c r="AQ131" s="9"/>
      <c r="AR131" s="9"/>
      <c r="AS131" s="2" t="s">
        <v>123</v>
      </c>
      <c r="AT131" s="2" t="s">
        <v>1555</v>
      </c>
      <c r="AU131" s="9">
        <v>203.0</v>
      </c>
      <c r="AV131" s="9">
        <v>101.0</v>
      </c>
      <c r="AW131" s="9"/>
      <c r="AX131" s="2" t="s">
        <v>1556</v>
      </c>
      <c r="AY131" s="1" t="s">
        <v>77</v>
      </c>
      <c r="AZ131" s="1" t="s">
        <v>227</v>
      </c>
      <c r="BA131" s="2" t="s">
        <v>242</v>
      </c>
      <c r="BB131" s="2" t="s">
        <v>1557</v>
      </c>
      <c r="BC131" s="1" t="s">
        <v>291</v>
      </c>
    </row>
    <row r="132" ht="15.75" customHeight="1">
      <c r="A132" s="2">
        <f t="shared" si="2"/>
        <v>131</v>
      </c>
      <c r="B132" s="2" t="s">
        <v>1558</v>
      </c>
      <c r="C132" s="2" t="s">
        <v>53</v>
      </c>
      <c r="D132" s="2" t="s">
        <v>54</v>
      </c>
      <c r="E132" s="2" t="s">
        <v>1559</v>
      </c>
      <c r="F132" s="2" t="s">
        <v>544</v>
      </c>
      <c r="G132" s="2" t="s">
        <v>1560</v>
      </c>
      <c r="I132" s="2" t="s">
        <v>59</v>
      </c>
      <c r="J132" s="2" t="s">
        <v>180</v>
      </c>
      <c r="K132" s="2" t="s">
        <v>60</v>
      </c>
      <c r="M132" s="1" t="s">
        <v>61</v>
      </c>
      <c r="N132" s="2" t="str">
        <f t="shared" si="1"/>
        <v>Hombre Interior Frente Amplio FA </v>
      </c>
      <c r="O132" s="2" t="s">
        <v>88</v>
      </c>
      <c r="P132" s="6" t="s">
        <v>1561</v>
      </c>
      <c r="Q132" s="7" t="s">
        <v>263</v>
      </c>
      <c r="R132" s="7"/>
      <c r="S132" s="7"/>
      <c r="T132" s="7"/>
      <c r="U132" s="8" t="s">
        <v>151</v>
      </c>
      <c r="V132" s="8" t="s">
        <v>152</v>
      </c>
      <c r="W132" s="2" t="s">
        <v>88</v>
      </c>
      <c r="X132" s="2" t="s">
        <v>1562</v>
      </c>
      <c r="Y132" s="8" t="s">
        <v>118</v>
      </c>
      <c r="Z132" s="8" t="s">
        <v>119</v>
      </c>
      <c r="AA132" s="3" t="s">
        <v>1563</v>
      </c>
      <c r="AB132" s="7" t="s">
        <v>98</v>
      </c>
      <c r="AC132" s="7"/>
      <c r="AD132" s="7"/>
      <c r="AE132" s="2" t="s">
        <v>1564</v>
      </c>
      <c r="AF132" s="9">
        <v>503.0</v>
      </c>
      <c r="AG132" s="9"/>
      <c r="AH132" s="9"/>
      <c r="AI132" s="9"/>
      <c r="AJ132" s="9"/>
      <c r="AK132" s="9"/>
      <c r="AL132" s="2" t="s">
        <v>1565</v>
      </c>
      <c r="AM132" s="5" t="s">
        <v>1565</v>
      </c>
      <c r="AN132" s="9">
        <v>200.0</v>
      </c>
      <c r="AO132" s="9"/>
      <c r="AP132" s="9"/>
      <c r="AQ132" s="9"/>
      <c r="AR132" s="9"/>
      <c r="AS132" s="2" t="s">
        <v>123</v>
      </c>
      <c r="AT132" s="2" t="s">
        <v>1566</v>
      </c>
      <c r="AU132" s="9">
        <v>202.0</v>
      </c>
      <c r="AV132" s="9">
        <v>201.0</v>
      </c>
      <c r="AW132" s="9"/>
      <c r="AX132" s="2" t="s">
        <v>1567</v>
      </c>
      <c r="AY132" s="1" t="s">
        <v>105</v>
      </c>
      <c r="AZ132" s="1" t="s">
        <v>129</v>
      </c>
      <c r="BA132" s="2" t="s">
        <v>79</v>
      </c>
      <c r="BB132" s="2" t="s">
        <v>1568</v>
      </c>
      <c r="BC132" s="1" t="s">
        <v>432</v>
      </c>
    </row>
    <row r="133" ht="15.75" customHeight="1">
      <c r="A133" s="2">
        <f t="shared" si="2"/>
        <v>132</v>
      </c>
      <c r="B133" s="2" t="s">
        <v>1569</v>
      </c>
      <c r="C133" s="2" t="s">
        <v>83</v>
      </c>
      <c r="D133" s="2" t="s">
        <v>54</v>
      </c>
      <c r="E133" s="2" t="s">
        <v>1570</v>
      </c>
      <c r="F133" s="2" t="s">
        <v>360</v>
      </c>
      <c r="H133" s="2" t="s">
        <v>1571</v>
      </c>
      <c r="I133" s="2" t="s">
        <v>59</v>
      </c>
      <c r="J133" s="2" t="s">
        <v>180</v>
      </c>
      <c r="K133" s="2" t="s">
        <v>60</v>
      </c>
      <c r="M133" s="1" t="s">
        <v>61</v>
      </c>
      <c r="N133" s="2" t="str">
        <f t="shared" si="1"/>
        <v>Hombre Interior Frente Amplio FA </v>
      </c>
      <c r="O133" s="2" t="s">
        <v>67</v>
      </c>
      <c r="P133" s="6" t="s">
        <v>1572</v>
      </c>
      <c r="Q133" s="7" t="s">
        <v>386</v>
      </c>
      <c r="R133" s="7"/>
      <c r="S133" s="7"/>
      <c r="T133" s="7"/>
      <c r="U133" s="8" t="s">
        <v>387</v>
      </c>
      <c r="V133" s="8" t="s">
        <v>425</v>
      </c>
      <c r="W133" s="2" t="s">
        <v>62</v>
      </c>
      <c r="X133" s="2" t="s">
        <v>1573</v>
      </c>
      <c r="Y133" s="8" t="s">
        <v>266</v>
      </c>
      <c r="Z133" s="8" t="s">
        <v>314</v>
      </c>
      <c r="AA133" s="3" t="s">
        <v>1574</v>
      </c>
      <c r="AB133" s="7" t="s">
        <v>270</v>
      </c>
      <c r="AC133" s="7"/>
      <c r="AD133" s="7"/>
      <c r="AE133" s="2" t="s">
        <v>1575</v>
      </c>
      <c r="AF133" s="9">
        <v>301.0</v>
      </c>
      <c r="AG133" s="9">
        <v>303.0</v>
      </c>
      <c r="AH133" s="9">
        <v>302.0</v>
      </c>
      <c r="AI133" s="9"/>
      <c r="AJ133" s="9"/>
      <c r="AK133" s="9"/>
      <c r="AL133" s="2" t="s">
        <v>1576</v>
      </c>
      <c r="AM133" s="5" t="s">
        <v>1576</v>
      </c>
      <c r="AN133" s="9">
        <v>401.0</v>
      </c>
      <c r="AO133" s="9"/>
      <c r="AP133" s="9"/>
      <c r="AQ133" s="9"/>
      <c r="AR133" s="9"/>
      <c r="AS133" s="2" t="s">
        <v>123</v>
      </c>
      <c r="AT133" s="2" t="s">
        <v>1577</v>
      </c>
      <c r="AU133" s="9">
        <v>204.0</v>
      </c>
      <c r="AV133" s="9"/>
      <c r="AW133" s="9"/>
      <c r="AX133" s="2" t="s">
        <v>1578</v>
      </c>
      <c r="AY133" s="1" t="s">
        <v>142</v>
      </c>
      <c r="AZ133" s="1" t="s">
        <v>127</v>
      </c>
      <c r="BA133" s="2" t="s">
        <v>242</v>
      </c>
      <c r="BB133" s="2" t="s">
        <v>1579</v>
      </c>
      <c r="BC133" s="1" t="s">
        <v>107</v>
      </c>
    </row>
    <row r="134" ht="15.75" customHeight="1">
      <c r="A134" s="2">
        <f t="shared" si="2"/>
        <v>133</v>
      </c>
      <c r="B134" s="2" t="s">
        <v>1580</v>
      </c>
      <c r="C134" s="2" t="s">
        <v>53</v>
      </c>
      <c r="D134" s="2" t="s">
        <v>54</v>
      </c>
      <c r="E134" s="2" t="s">
        <v>1581</v>
      </c>
      <c r="F134" s="2" t="s">
        <v>1582</v>
      </c>
      <c r="H134" s="2" t="s">
        <v>1583</v>
      </c>
      <c r="I134" s="2" t="s">
        <v>59</v>
      </c>
      <c r="J134" s="2" t="s">
        <v>180</v>
      </c>
      <c r="K134" s="2" t="s">
        <v>60</v>
      </c>
      <c r="M134" s="1" t="s">
        <v>61</v>
      </c>
      <c r="N134" s="2" t="str">
        <f t="shared" si="1"/>
        <v>Hombre Interior Frente Amplio FA </v>
      </c>
      <c r="O134" s="2" t="s">
        <v>67</v>
      </c>
      <c r="P134" s="6" t="s">
        <v>1584</v>
      </c>
      <c r="Q134" s="7" t="s">
        <v>165</v>
      </c>
      <c r="R134" s="7" t="s">
        <v>437</v>
      </c>
      <c r="S134" s="7"/>
      <c r="T134" s="7"/>
      <c r="U134" s="8" t="s">
        <v>65</v>
      </c>
      <c r="V134" s="8" t="s">
        <v>264</v>
      </c>
      <c r="W134" s="2" t="s">
        <v>62</v>
      </c>
      <c r="X134" s="2" t="s">
        <v>1585</v>
      </c>
      <c r="Y134" s="8" t="s">
        <v>69</v>
      </c>
      <c r="Z134" s="8" t="s">
        <v>236</v>
      </c>
      <c r="AA134" s="3" t="s">
        <v>1586</v>
      </c>
      <c r="AB134" s="7" t="s">
        <v>237</v>
      </c>
      <c r="AC134" s="7"/>
      <c r="AD134" s="7"/>
      <c r="AE134" s="2" t="s">
        <v>1587</v>
      </c>
      <c r="AF134" s="9">
        <v>501.0</v>
      </c>
      <c r="AG134" s="9"/>
      <c r="AH134" s="9"/>
      <c r="AI134" s="9"/>
      <c r="AJ134" s="9"/>
      <c r="AK134" s="9"/>
      <c r="AL134" s="2" t="s">
        <v>442</v>
      </c>
      <c r="AM134" s="5" t="s">
        <v>442</v>
      </c>
      <c r="AN134" s="9">
        <v>203.0</v>
      </c>
      <c r="AO134" s="9"/>
      <c r="AP134" s="9"/>
      <c r="AQ134" s="9"/>
      <c r="AR134" s="9"/>
      <c r="AS134" s="2" t="s">
        <v>123</v>
      </c>
      <c r="AT134" s="2" t="s">
        <v>1588</v>
      </c>
      <c r="AU134" s="9">
        <v>204.0</v>
      </c>
      <c r="AV134" s="9"/>
      <c r="AW134" s="9"/>
      <c r="AX134" s="2" t="s">
        <v>1589</v>
      </c>
      <c r="AY134" s="1" t="s">
        <v>258</v>
      </c>
      <c r="AZ134" s="1" t="s">
        <v>129</v>
      </c>
      <c r="BA134" s="2" t="s">
        <v>174</v>
      </c>
      <c r="BB134" s="2" t="s">
        <v>1590</v>
      </c>
      <c r="BC134" s="1" t="s">
        <v>144</v>
      </c>
    </row>
    <row r="135" ht="15.75" customHeight="1">
      <c r="A135" s="2">
        <f t="shared" si="2"/>
        <v>134</v>
      </c>
      <c r="B135" s="2" t="s">
        <v>1591</v>
      </c>
      <c r="C135" s="2" t="s">
        <v>83</v>
      </c>
      <c r="D135" s="2" t="s">
        <v>54</v>
      </c>
      <c r="E135" s="2" t="s">
        <v>1592</v>
      </c>
      <c r="F135" s="2" t="s">
        <v>544</v>
      </c>
      <c r="G135" s="2" t="s">
        <v>57</v>
      </c>
      <c r="I135" s="2" t="s">
        <v>59</v>
      </c>
      <c r="J135" s="2" t="s">
        <v>180</v>
      </c>
      <c r="K135" s="2" t="s">
        <v>60</v>
      </c>
      <c r="M135" s="1" t="s">
        <v>61</v>
      </c>
      <c r="N135" s="2" t="str">
        <f t="shared" si="1"/>
        <v>Hombre Interior Frente Amplio FA </v>
      </c>
      <c r="O135" s="2" t="s">
        <v>67</v>
      </c>
      <c r="P135" s="6" t="s">
        <v>1593</v>
      </c>
      <c r="Q135" s="7" t="s">
        <v>165</v>
      </c>
      <c r="R135" s="7" t="s">
        <v>437</v>
      </c>
      <c r="S135" s="7"/>
      <c r="T135" s="7"/>
      <c r="U135" s="8" t="s">
        <v>65</v>
      </c>
      <c r="V135" s="8" t="s">
        <v>264</v>
      </c>
      <c r="W135" s="2" t="s">
        <v>62</v>
      </c>
      <c r="X135" s="2" t="s">
        <v>1594</v>
      </c>
      <c r="Y135" s="8" t="s">
        <v>266</v>
      </c>
      <c r="Z135" s="8" t="s">
        <v>267</v>
      </c>
      <c r="AA135" s="3" t="s">
        <v>1595</v>
      </c>
      <c r="AB135" s="7" t="s">
        <v>270</v>
      </c>
      <c r="AC135" s="7" t="s">
        <v>214</v>
      </c>
      <c r="AD135" s="7"/>
      <c r="AE135" s="2" t="s">
        <v>1596</v>
      </c>
      <c r="AF135" s="9">
        <v>101.0</v>
      </c>
      <c r="AG135" s="9">
        <v>201.0</v>
      </c>
      <c r="AH135" s="9">
        <v>302.0</v>
      </c>
      <c r="AI135" s="9">
        <v>203.0</v>
      </c>
      <c r="AJ135" s="9">
        <v>403.0</v>
      </c>
      <c r="AK135" s="9"/>
      <c r="AL135" s="2" t="s">
        <v>1597</v>
      </c>
      <c r="AM135" s="5" t="s">
        <v>1598</v>
      </c>
      <c r="AN135" s="9">
        <v>101.0</v>
      </c>
      <c r="AO135" s="9">
        <v>202.0</v>
      </c>
      <c r="AP135" s="9">
        <v>203.0</v>
      </c>
      <c r="AQ135" s="9"/>
      <c r="AR135" s="9"/>
      <c r="AS135" s="2" t="s">
        <v>123</v>
      </c>
      <c r="AT135" s="2" t="s">
        <v>1599</v>
      </c>
      <c r="AU135" s="9">
        <v>201.0</v>
      </c>
      <c r="AV135" s="9">
        <v>203.0</v>
      </c>
      <c r="AW135" s="9"/>
      <c r="AX135" s="2" t="s">
        <v>1600</v>
      </c>
      <c r="AY135" s="1" t="s">
        <v>77</v>
      </c>
      <c r="AZ135" s="1" t="s">
        <v>227</v>
      </c>
      <c r="BA135" s="2" t="s">
        <v>242</v>
      </c>
      <c r="BB135" s="2" t="s">
        <v>1601</v>
      </c>
      <c r="BC135" s="1" t="s">
        <v>161</v>
      </c>
    </row>
    <row r="136" ht="15.75" customHeight="1">
      <c r="A136" s="2">
        <f t="shared" si="2"/>
        <v>135</v>
      </c>
      <c r="B136" s="2" t="s">
        <v>1602</v>
      </c>
      <c r="C136" s="2" t="s">
        <v>83</v>
      </c>
      <c r="D136" s="2" t="s">
        <v>54</v>
      </c>
      <c r="E136" s="2" t="s">
        <v>1603</v>
      </c>
      <c r="F136" s="2" t="s">
        <v>544</v>
      </c>
      <c r="G136" s="2" t="s">
        <v>57</v>
      </c>
      <c r="I136" s="2" t="s">
        <v>59</v>
      </c>
      <c r="J136" s="2" t="s">
        <v>180</v>
      </c>
      <c r="K136" s="2" t="s">
        <v>60</v>
      </c>
      <c r="M136" s="1" t="s">
        <v>61</v>
      </c>
      <c r="N136" s="2" t="str">
        <f t="shared" si="1"/>
        <v>Hombre Interior Frente Amplio FA </v>
      </c>
      <c r="O136" s="2" t="s">
        <v>67</v>
      </c>
      <c r="P136" s="6" t="s">
        <v>1604</v>
      </c>
      <c r="Q136" s="7" t="s">
        <v>263</v>
      </c>
      <c r="R136" s="7"/>
      <c r="S136" s="7"/>
      <c r="T136" s="7"/>
      <c r="U136" s="8" t="s">
        <v>65</v>
      </c>
      <c r="V136" s="8" t="s">
        <v>264</v>
      </c>
      <c r="W136" s="2" t="s">
        <v>67</v>
      </c>
      <c r="X136" s="2" t="s">
        <v>1605</v>
      </c>
      <c r="Y136" s="8" t="s">
        <v>94</v>
      </c>
      <c r="Z136" s="8" t="s">
        <v>283</v>
      </c>
      <c r="AA136" s="3" t="s">
        <v>1606</v>
      </c>
      <c r="AB136" s="7" t="s">
        <v>155</v>
      </c>
      <c r="AC136" s="7" t="s">
        <v>285</v>
      </c>
      <c r="AD136" s="7" t="s">
        <v>98</v>
      </c>
      <c r="AE136" s="2" t="s">
        <v>1607</v>
      </c>
      <c r="AF136" s="9">
        <v>204.0</v>
      </c>
      <c r="AG136" s="9">
        <v>202.0</v>
      </c>
      <c r="AH136" s="9"/>
      <c r="AI136" s="9"/>
      <c r="AJ136" s="9"/>
      <c r="AK136" s="9"/>
      <c r="AL136" s="2" t="s">
        <v>1608</v>
      </c>
      <c r="AM136" s="5" t="s">
        <v>1609</v>
      </c>
      <c r="AN136" s="9">
        <v>206.0</v>
      </c>
      <c r="AO136" s="9"/>
      <c r="AP136" s="9"/>
      <c r="AQ136" s="9"/>
      <c r="AR136" s="9"/>
      <c r="AS136" s="2" t="s">
        <v>123</v>
      </c>
      <c r="AT136" s="2" t="s">
        <v>1610</v>
      </c>
      <c r="AU136" s="9">
        <v>204.0</v>
      </c>
      <c r="AV136" s="9"/>
      <c r="AW136" s="9"/>
      <c r="AX136" s="2" t="s">
        <v>1611</v>
      </c>
      <c r="AY136" s="1" t="s">
        <v>126</v>
      </c>
      <c r="AZ136" s="1" t="s">
        <v>129</v>
      </c>
      <c r="BA136" s="2" t="s">
        <v>79</v>
      </c>
      <c r="BB136" s="2" t="s">
        <v>1612</v>
      </c>
      <c r="BC136" s="1" t="s">
        <v>129</v>
      </c>
    </row>
    <row r="137" ht="15.75" customHeight="1">
      <c r="U137" s="8"/>
      <c r="V137" s="8"/>
      <c r="Y137" s="8"/>
      <c r="Z137" s="8"/>
    </row>
    <row r="138" ht="15.75" customHeight="1">
      <c r="U138" s="8"/>
      <c r="V138" s="8"/>
      <c r="Y138" s="8"/>
      <c r="Z138" s="8"/>
    </row>
    <row r="139" ht="15.75" customHeight="1">
      <c r="U139" s="8"/>
      <c r="V139" s="8"/>
      <c r="Y139" s="8"/>
      <c r="Z139" s="8"/>
    </row>
    <row r="140" ht="15.75" customHeight="1">
      <c r="S140" s="11"/>
      <c r="U140" s="11"/>
      <c r="V140" s="8"/>
      <c r="Y140" s="8"/>
      <c r="Z140" s="8"/>
    </row>
    <row r="141" ht="15.75" customHeight="1">
      <c r="S141" s="11"/>
      <c r="U141" s="11"/>
      <c r="V141" s="8"/>
      <c r="Y141" s="8"/>
      <c r="Z141" s="8"/>
    </row>
    <row r="142" ht="15.75" customHeight="1">
      <c r="S142" s="11"/>
      <c r="T142" s="12"/>
      <c r="U142" s="11"/>
      <c r="V142" s="8"/>
      <c r="Y142" s="8"/>
      <c r="Z142" s="8"/>
    </row>
    <row r="143" ht="15.75" customHeight="1">
      <c r="S143" s="11"/>
      <c r="T143" s="12"/>
      <c r="U143" s="11"/>
      <c r="V143" s="8"/>
      <c r="Y143" s="8"/>
      <c r="Z143" s="8"/>
    </row>
    <row r="144" ht="15.75" customHeight="1">
      <c r="S144" s="11"/>
      <c r="T144" s="12"/>
      <c r="U144" s="11"/>
      <c r="V144" s="8"/>
      <c r="Y144" s="8"/>
      <c r="Z144" s="8"/>
    </row>
    <row r="145" ht="15.75" customHeight="1">
      <c r="S145" s="11"/>
      <c r="U145" s="11"/>
      <c r="V145" s="8"/>
      <c r="Y145" s="8"/>
      <c r="Z145" s="8"/>
    </row>
    <row r="146" ht="15.75" customHeight="1">
      <c r="S146" s="11"/>
      <c r="U146" s="11"/>
      <c r="V146" s="8"/>
      <c r="Y146" s="8"/>
      <c r="Z146" s="8"/>
    </row>
    <row r="147" ht="15.75" customHeight="1">
      <c r="S147" s="11"/>
      <c r="U147" s="11"/>
      <c r="V147" s="8"/>
      <c r="Y147" s="8"/>
      <c r="Z147" s="8"/>
    </row>
    <row r="148" ht="15.75" customHeight="1">
      <c r="S148" s="11"/>
      <c r="U148" s="11"/>
      <c r="V148" s="8"/>
      <c r="Y148" s="8"/>
      <c r="Z148" s="8"/>
    </row>
    <row r="149" ht="15.75" customHeight="1">
      <c r="Q149" s="8"/>
      <c r="R149" s="8"/>
      <c r="S149" s="8"/>
      <c r="T149" s="8"/>
      <c r="U149" s="8"/>
      <c r="V149" s="8"/>
      <c r="Y149" s="8"/>
      <c r="Z149" s="8"/>
    </row>
    <row r="150" ht="15.75" customHeight="1">
      <c r="S150" s="8"/>
      <c r="T150" s="8"/>
      <c r="U150" s="8"/>
      <c r="V150" s="8"/>
      <c r="Y150" s="8"/>
      <c r="Z150" s="8"/>
    </row>
    <row r="151" ht="15.75" customHeight="1">
      <c r="Q151" s="8"/>
      <c r="R151" s="8"/>
      <c r="S151" s="8"/>
      <c r="T151" s="8"/>
      <c r="U151" s="8"/>
      <c r="V151" s="8"/>
      <c r="Y151" s="8"/>
      <c r="Z151" s="8"/>
    </row>
    <row r="152" ht="15.75" customHeight="1">
      <c r="Q152" s="13"/>
      <c r="R152" s="8"/>
      <c r="S152" s="8"/>
      <c r="T152" s="8"/>
      <c r="U152" s="8"/>
      <c r="V152" s="8"/>
      <c r="Y152" s="8"/>
      <c r="Z152" s="8"/>
    </row>
    <row r="153" ht="15.75" customHeight="1">
      <c r="Q153" s="13"/>
      <c r="R153" s="8"/>
      <c r="S153" s="8"/>
      <c r="T153" s="8"/>
      <c r="U153" s="8"/>
      <c r="V153" s="8"/>
      <c r="Y153" s="8"/>
      <c r="Z153" s="8"/>
    </row>
    <row r="154" ht="15.75" customHeight="1">
      <c r="Q154" s="13"/>
      <c r="R154" s="8"/>
      <c r="S154" s="8"/>
      <c r="T154" s="8"/>
      <c r="U154" s="8"/>
      <c r="V154" s="8"/>
      <c r="Y154" s="8"/>
      <c r="Z154" s="8"/>
    </row>
    <row r="155" ht="15.75" customHeight="1">
      <c r="Q155" s="8"/>
      <c r="R155" s="8"/>
      <c r="S155" s="8"/>
      <c r="T155" s="8"/>
      <c r="U155" s="8"/>
      <c r="V155" s="8"/>
      <c r="Y155" s="8"/>
      <c r="Z155" s="8"/>
    </row>
    <row r="156" ht="15.75" customHeight="1">
      <c r="Q156" s="8"/>
      <c r="R156" s="8"/>
      <c r="S156" s="8"/>
      <c r="T156" s="8"/>
      <c r="U156" s="8"/>
      <c r="V156" s="8"/>
      <c r="Y156" s="8"/>
      <c r="Z156" s="8"/>
    </row>
    <row r="157" ht="15.75" customHeight="1">
      <c r="Q157" s="8"/>
      <c r="R157" s="8"/>
      <c r="S157" s="8"/>
      <c r="T157" s="8"/>
      <c r="U157" s="8"/>
      <c r="V157" s="8"/>
      <c r="Y157" s="8"/>
      <c r="Z157" s="8"/>
    </row>
    <row r="158" ht="15.75" customHeight="1">
      <c r="Q158" s="8"/>
      <c r="R158" s="8"/>
      <c r="S158" s="8"/>
      <c r="T158" s="8"/>
      <c r="U158" s="8"/>
      <c r="V158" s="8"/>
      <c r="Y158" s="8"/>
      <c r="Z158" s="8"/>
    </row>
    <row r="159" ht="15.75" customHeight="1">
      <c r="Q159" s="8"/>
      <c r="R159" s="8"/>
      <c r="S159" s="8"/>
      <c r="T159" s="8"/>
      <c r="U159" s="8"/>
      <c r="V159" s="8"/>
      <c r="Y159" s="8"/>
      <c r="Z159" s="8"/>
    </row>
    <row r="160" ht="15.75" customHeight="1">
      <c r="Q160" s="8"/>
      <c r="R160" s="8"/>
      <c r="S160" s="8"/>
      <c r="T160" s="8"/>
      <c r="U160" s="8"/>
      <c r="V160" s="8"/>
      <c r="Y160" s="8"/>
      <c r="Z160" s="8"/>
    </row>
    <row r="161" ht="15.75" customHeight="1">
      <c r="Q161" s="8"/>
      <c r="R161" s="8"/>
      <c r="S161" s="8"/>
      <c r="T161" s="8"/>
      <c r="U161" s="8"/>
      <c r="V161" s="8"/>
      <c r="Y161" s="8"/>
      <c r="Z161" s="8"/>
    </row>
    <row r="162" ht="15.75" customHeight="1">
      <c r="Q162" s="8"/>
      <c r="R162" s="8"/>
      <c r="S162" s="8"/>
      <c r="T162" s="8"/>
      <c r="U162" s="8"/>
      <c r="V162" s="8"/>
      <c r="Y162" s="8"/>
      <c r="Z162" s="8"/>
    </row>
    <row r="163" ht="15.75" customHeight="1">
      <c r="Q163" s="8"/>
      <c r="R163" s="8"/>
      <c r="S163" s="8"/>
      <c r="T163" s="8"/>
      <c r="U163" s="8"/>
      <c r="V163" s="8"/>
      <c r="Y163" s="8"/>
      <c r="Z163" s="8"/>
    </row>
    <row r="164" ht="15.75" customHeight="1">
      <c r="Q164" s="8"/>
      <c r="R164" s="8"/>
      <c r="S164" s="8"/>
      <c r="T164" s="8"/>
      <c r="U164" s="8"/>
      <c r="V164" s="8"/>
      <c r="Y164" s="8"/>
      <c r="Z164" s="8"/>
    </row>
    <row r="165" ht="15.75" customHeight="1">
      <c r="Q165" s="8"/>
      <c r="R165" s="8"/>
      <c r="S165" s="8"/>
      <c r="T165" s="8"/>
      <c r="U165" s="8"/>
      <c r="V165" s="8"/>
      <c r="Y165" s="8"/>
      <c r="Z165" s="8"/>
    </row>
    <row r="166" ht="15.75" customHeight="1">
      <c r="Q166" s="8"/>
      <c r="R166" s="8"/>
      <c r="S166" s="8"/>
      <c r="T166" s="8"/>
      <c r="U166" s="8"/>
      <c r="V166" s="8"/>
      <c r="Y166" s="8"/>
      <c r="Z166" s="8"/>
    </row>
    <row r="167" ht="15.75" customHeight="1">
      <c r="Q167" s="8"/>
      <c r="R167" s="8"/>
      <c r="S167" s="8"/>
      <c r="T167" s="8"/>
      <c r="U167" s="8"/>
      <c r="V167" s="8"/>
      <c r="Y167" s="8"/>
      <c r="Z167" s="8"/>
    </row>
    <row r="168" ht="15.75" customHeight="1">
      <c r="Q168" s="8"/>
      <c r="R168" s="8"/>
      <c r="S168" s="8"/>
      <c r="T168" s="8"/>
      <c r="U168" s="8"/>
      <c r="V168" s="8"/>
      <c r="Y168" s="8"/>
      <c r="Z168" s="8"/>
    </row>
    <row r="169" ht="15.75" customHeight="1">
      <c r="Q169" s="8"/>
      <c r="R169" s="8"/>
      <c r="S169" s="8"/>
      <c r="T169" s="8"/>
      <c r="U169" s="8"/>
      <c r="V169" s="8"/>
      <c r="Y169" s="8"/>
      <c r="Z169" s="8"/>
    </row>
    <row r="170" ht="15.75" customHeight="1">
      <c r="Q170" s="8"/>
      <c r="R170" s="8"/>
      <c r="S170" s="8"/>
      <c r="T170" s="8"/>
      <c r="U170" s="8"/>
      <c r="V170" s="8"/>
      <c r="Y170" s="8"/>
      <c r="Z170" s="8"/>
    </row>
    <row r="171" ht="15.75" customHeight="1">
      <c r="Q171" s="8"/>
      <c r="R171" s="8"/>
      <c r="S171" s="8"/>
      <c r="T171" s="8"/>
      <c r="U171" s="8"/>
      <c r="V171" s="8"/>
      <c r="Y171" s="8"/>
      <c r="Z171" s="8"/>
    </row>
    <row r="172" ht="15.75" customHeight="1">
      <c r="Q172" s="8"/>
      <c r="R172" s="8"/>
      <c r="S172" s="8"/>
      <c r="T172" s="8"/>
      <c r="U172" s="8"/>
      <c r="V172" s="8"/>
      <c r="Y172" s="8"/>
      <c r="Z172" s="8"/>
    </row>
    <row r="173" ht="15.75" customHeight="1">
      <c r="Q173" s="8"/>
      <c r="R173" s="8"/>
      <c r="S173" s="8"/>
      <c r="T173" s="8"/>
      <c r="U173" s="8"/>
      <c r="V173" s="8"/>
      <c r="Y173" s="8"/>
      <c r="Z173" s="8"/>
    </row>
    <row r="174" ht="15.75" customHeight="1">
      <c r="Q174" s="8"/>
      <c r="R174" s="8"/>
      <c r="S174" s="8"/>
      <c r="T174" s="8"/>
      <c r="U174" s="8"/>
      <c r="V174" s="8"/>
      <c r="Y174" s="8"/>
      <c r="Z174" s="8"/>
    </row>
    <row r="175" ht="15.75" customHeight="1">
      <c r="Q175" s="8"/>
      <c r="R175" s="8"/>
      <c r="S175" s="8"/>
      <c r="T175" s="8"/>
      <c r="U175" s="8"/>
      <c r="V175" s="8"/>
      <c r="Y175" s="8"/>
      <c r="Z175" s="8"/>
    </row>
    <row r="176" ht="15.75" customHeight="1">
      <c r="Q176" s="8"/>
      <c r="R176" s="8"/>
      <c r="S176" s="8"/>
      <c r="T176" s="8"/>
      <c r="U176" s="8"/>
      <c r="V176" s="8"/>
      <c r="Y176" s="8"/>
      <c r="Z176" s="8"/>
    </row>
    <row r="177" ht="15.75" customHeight="1">
      <c r="Q177" s="8"/>
      <c r="R177" s="8"/>
      <c r="S177" s="8"/>
      <c r="T177" s="8"/>
      <c r="U177" s="8"/>
      <c r="V177" s="8"/>
      <c r="Y177" s="8"/>
      <c r="Z177" s="8"/>
    </row>
    <row r="178" ht="15.75" customHeight="1">
      <c r="Q178" s="8"/>
      <c r="R178" s="8"/>
      <c r="S178" s="8"/>
      <c r="T178" s="8"/>
      <c r="U178" s="8"/>
      <c r="V178" s="8"/>
      <c r="Y178" s="8"/>
      <c r="Z178" s="8"/>
    </row>
    <row r="179" ht="15.75" customHeight="1">
      <c r="Q179" s="8"/>
      <c r="R179" s="8"/>
      <c r="S179" s="8"/>
      <c r="T179" s="8"/>
      <c r="U179" s="8"/>
      <c r="V179" s="8"/>
      <c r="Y179" s="8"/>
      <c r="Z179" s="8"/>
    </row>
    <row r="180" ht="15.75" customHeight="1">
      <c r="Q180" s="8"/>
      <c r="R180" s="8"/>
      <c r="S180" s="8"/>
      <c r="T180" s="8"/>
      <c r="U180" s="8"/>
      <c r="V180" s="8"/>
      <c r="Y180" s="8"/>
      <c r="Z180" s="8"/>
    </row>
    <row r="181" ht="15.75" customHeight="1">
      <c r="Q181" s="8"/>
      <c r="R181" s="8"/>
      <c r="S181" s="8"/>
      <c r="T181" s="8"/>
      <c r="U181" s="8"/>
      <c r="V181" s="8"/>
      <c r="Y181" s="8"/>
      <c r="Z181" s="8"/>
    </row>
    <row r="182" ht="15.75" customHeight="1">
      <c r="Q182" s="8"/>
      <c r="R182" s="8"/>
      <c r="S182" s="8"/>
      <c r="T182" s="8"/>
      <c r="U182" s="8"/>
      <c r="V182" s="8"/>
      <c r="Y182" s="8"/>
      <c r="Z182" s="8"/>
    </row>
    <row r="183" ht="15.75" customHeight="1">
      <c r="Q183" s="8"/>
      <c r="R183" s="8"/>
      <c r="S183" s="8"/>
      <c r="T183" s="8"/>
      <c r="U183" s="8"/>
      <c r="V183" s="8"/>
      <c r="Y183" s="8"/>
      <c r="Z183" s="8"/>
    </row>
    <row r="184" ht="15.75" customHeight="1">
      <c r="Q184" s="8"/>
      <c r="R184" s="8"/>
      <c r="S184" s="8"/>
      <c r="T184" s="8"/>
      <c r="U184" s="8"/>
      <c r="V184" s="8"/>
      <c r="Y184" s="8"/>
      <c r="Z184" s="8"/>
    </row>
    <row r="185" ht="15.75" customHeight="1">
      <c r="Q185" s="8"/>
      <c r="R185" s="8"/>
      <c r="S185" s="8"/>
      <c r="T185" s="8"/>
      <c r="U185" s="8"/>
      <c r="V185" s="8"/>
      <c r="Y185" s="8"/>
      <c r="Z185" s="8"/>
    </row>
    <row r="186" ht="15.75" customHeight="1">
      <c r="Q186" s="8"/>
      <c r="R186" s="8"/>
      <c r="S186" s="8"/>
      <c r="T186" s="8"/>
      <c r="U186" s="8"/>
      <c r="V186" s="8"/>
      <c r="Y186" s="8"/>
      <c r="Z186" s="8"/>
    </row>
    <row r="187" ht="15.75" customHeight="1">
      <c r="Q187" s="8"/>
      <c r="R187" s="8"/>
      <c r="S187" s="8"/>
      <c r="T187" s="8"/>
      <c r="U187" s="8"/>
      <c r="V187" s="8"/>
      <c r="Y187" s="8"/>
      <c r="Z187" s="8"/>
    </row>
    <row r="188" ht="15.75" customHeight="1">
      <c r="Q188" s="8"/>
      <c r="R188" s="8"/>
      <c r="S188" s="8"/>
      <c r="T188" s="8"/>
      <c r="U188" s="8"/>
      <c r="V188" s="8"/>
      <c r="Y188" s="8"/>
      <c r="Z188" s="8"/>
    </row>
    <row r="189" ht="15.75" customHeight="1">
      <c r="Q189" s="8"/>
      <c r="R189" s="8"/>
      <c r="S189" s="8"/>
      <c r="T189" s="8"/>
      <c r="U189" s="8"/>
      <c r="V189" s="8"/>
      <c r="Y189" s="8"/>
      <c r="Z189" s="8"/>
    </row>
    <row r="190" ht="15.75" customHeight="1">
      <c r="Q190" s="8"/>
      <c r="R190" s="8"/>
      <c r="S190" s="8"/>
      <c r="T190" s="8"/>
      <c r="U190" s="8"/>
      <c r="V190" s="8"/>
      <c r="Y190" s="8"/>
      <c r="Z190" s="8"/>
    </row>
    <row r="191" ht="15.75" customHeight="1">
      <c r="Q191" s="8"/>
      <c r="R191" s="8"/>
      <c r="S191" s="8"/>
      <c r="T191" s="8"/>
      <c r="U191" s="8"/>
      <c r="V191" s="8"/>
      <c r="Y191" s="8"/>
      <c r="Z191" s="8"/>
    </row>
    <row r="192" ht="15.75" customHeight="1">
      <c r="Q192" s="8"/>
      <c r="R192" s="8"/>
      <c r="S192" s="8"/>
      <c r="T192" s="8"/>
      <c r="U192" s="8"/>
      <c r="V192" s="8"/>
      <c r="Y192" s="8"/>
      <c r="Z192" s="8"/>
    </row>
    <row r="193" ht="15.75" customHeight="1">
      <c r="Q193" s="8"/>
      <c r="R193" s="8"/>
      <c r="S193" s="8"/>
      <c r="T193" s="8"/>
      <c r="U193" s="8"/>
      <c r="V193" s="8"/>
      <c r="Y193" s="8"/>
      <c r="Z193" s="8"/>
    </row>
    <row r="194" ht="15.75" customHeight="1">
      <c r="Q194" s="8"/>
      <c r="R194" s="8"/>
      <c r="S194" s="8"/>
      <c r="T194" s="8"/>
      <c r="U194" s="8"/>
      <c r="V194" s="8"/>
      <c r="Y194" s="8"/>
      <c r="Z194" s="8"/>
    </row>
    <row r="195" ht="15.75" customHeight="1">
      <c r="Q195" s="8"/>
      <c r="R195" s="8"/>
      <c r="S195" s="8"/>
      <c r="T195" s="8"/>
      <c r="U195" s="8"/>
      <c r="V195" s="8"/>
      <c r="Y195" s="8"/>
      <c r="Z195" s="8"/>
    </row>
    <row r="196" ht="15.75" customHeight="1">
      <c r="Q196" s="8"/>
      <c r="R196" s="8"/>
      <c r="S196" s="8"/>
      <c r="T196" s="8"/>
      <c r="U196" s="8"/>
      <c r="V196" s="8"/>
      <c r="Y196" s="8"/>
      <c r="Z196" s="8"/>
    </row>
    <row r="197" ht="15.75" customHeight="1">
      <c r="Q197" s="8"/>
      <c r="R197" s="8"/>
      <c r="S197" s="8"/>
      <c r="T197" s="8"/>
      <c r="U197" s="8"/>
      <c r="V197" s="8"/>
      <c r="Y197" s="8"/>
      <c r="Z197" s="8"/>
    </row>
    <row r="198" ht="15.75" customHeight="1">
      <c r="Q198" s="8"/>
      <c r="R198" s="8"/>
      <c r="S198" s="8"/>
      <c r="T198" s="8"/>
      <c r="U198" s="8"/>
      <c r="V198" s="8"/>
      <c r="Y198" s="8"/>
      <c r="Z198" s="8"/>
    </row>
    <row r="199" ht="15.75" customHeight="1">
      <c r="Q199" s="8"/>
      <c r="R199" s="8"/>
      <c r="S199" s="8"/>
      <c r="T199" s="8"/>
      <c r="U199" s="8"/>
      <c r="V199" s="8"/>
      <c r="Y199" s="8"/>
      <c r="Z199" s="8"/>
    </row>
    <row r="200" ht="15.75" customHeight="1">
      <c r="Q200" s="8"/>
      <c r="R200" s="8"/>
      <c r="S200" s="8"/>
      <c r="T200" s="8"/>
      <c r="U200" s="8"/>
      <c r="V200" s="8"/>
      <c r="Y200" s="8"/>
      <c r="Z200" s="8"/>
    </row>
    <row r="201" ht="15.75" customHeight="1">
      <c r="Q201" s="8"/>
      <c r="R201" s="8"/>
      <c r="S201" s="8"/>
      <c r="T201" s="8"/>
      <c r="U201" s="8"/>
      <c r="V201" s="8"/>
      <c r="Y201" s="8"/>
      <c r="Z201" s="8"/>
    </row>
    <row r="202" ht="15.75" customHeight="1">
      <c r="Q202" s="8"/>
      <c r="R202" s="8"/>
      <c r="S202" s="8"/>
      <c r="T202" s="8"/>
      <c r="U202" s="8"/>
      <c r="V202" s="8"/>
      <c r="Y202" s="8"/>
      <c r="Z202" s="8"/>
    </row>
    <row r="203" ht="15.75" customHeight="1">
      <c r="Q203" s="8"/>
      <c r="R203" s="8"/>
      <c r="S203" s="8"/>
      <c r="T203" s="8"/>
      <c r="U203" s="8"/>
      <c r="V203" s="8"/>
      <c r="Y203" s="8"/>
      <c r="Z203" s="8"/>
    </row>
    <row r="204" ht="15.75" customHeight="1">
      <c r="Q204" s="8"/>
      <c r="R204" s="8"/>
      <c r="S204" s="8"/>
      <c r="T204" s="8"/>
      <c r="U204" s="8"/>
      <c r="V204" s="8"/>
      <c r="Y204" s="8"/>
      <c r="Z204" s="8"/>
    </row>
    <row r="205" ht="15.75" customHeight="1">
      <c r="Q205" s="8"/>
      <c r="R205" s="8"/>
      <c r="S205" s="8"/>
      <c r="T205" s="8"/>
      <c r="U205" s="8"/>
      <c r="V205" s="8"/>
      <c r="Y205" s="8"/>
      <c r="Z205" s="8"/>
    </row>
    <row r="206" ht="15.75" customHeight="1">
      <c r="Q206" s="8"/>
      <c r="R206" s="8"/>
      <c r="S206" s="8"/>
      <c r="T206" s="8"/>
      <c r="U206" s="8"/>
      <c r="V206" s="8"/>
      <c r="Y206" s="8"/>
      <c r="Z206" s="8"/>
    </row>
    <row r="207" ht="15.75" customHeight="1">
      <c r="Q207" s="8"/>
      <c r="R207" s="8"/>
      <c r="S207" s="8"/>
      <c r="T207" s="8"/>
      <c r="U207" s="8"/>
      <c r="V207" s="8"/>
      <c r="Y207" s="8"/>
      <c r="Z207" s="8"/>
    </row>
    <row r="208" ht="15.75" customHeight="1">
      <c r="Q208" s="8"/>
      <c r="R208" s="8"/>
      <c r="S208" s="8"/>
      <c r="T208" s="8"/>
      <c r="U208" s="8"/>
      <c r="V208" s="8"/>
      <c r="Y208" s="8"/>
      <c r="Z208" s="8"/>
    </row>
    <row r="209" ht="15.75" customHeight="1">
      <c r="Q209" s="8"/>
      <c r="R209" s="8"/>
      <c r="S209" s="8"/>
      <c r="T209" s="8"/>
      <c r="U209" s="8"/>
      <c r="V209" s="8"/>
      <c r="Y209" s="8"/>
      <c r="Z209" s="8"/>
    </row>
    <row r="210" ht="15.75" customHeight="1">
      <c r="Q210" s="8"/>
      <c r="R210" s="8"/>
      <c r="S210" s="8"/>
      <c r="T210" s="8"/>
      <c r="U210" s="8"/>
      <c r="V210" s="8"/>
      <c r="Y210" s="8"/>
      <c r="Z210" s="8"/>
    </row>
    <row r="211" ht="15.75" customHeight="1">
      <c r="Q211" s="8"/>
      <c r="R211" s="8"/>
      <c r="S211" s="8"/>
      <c r="T211" s="8"/>
      <c r="U211" s="8"/>
      <c r="V211" s="8"/>
      <c r="Y211" s="8"/>
      <c r="Z211" s="8"/>
    </row>
    <row r="212" ht="15.75" customHeight="1">
      <c r="Q212" s="8"/>
      <c r="R212" s="8"/>
      <c r="S212" s="8"/>
      <c r="T212" s="8"/>
      <c r="U212" s="8"/>
      <c r="V212" s="8"/>
      <c r="Y212" s="8"/>
      <c r="Z212" s="8"/>
    </row>
    <row r="213" ht="15.75" customHeight="1">
      <c r="Q213" s="8"/>
      <c r="R213" s="8"/>
      <c r="S213" s="8"/>
      <c r="T213" s="8"/>
      <c r="U213" s="8"/>
      <c r="V213" s="8"/>
      <c r="Y213" s="8"/>
      <c r="Z213" s="8"/>
    </row>
    <row r="214" ht="15.75" customHeight="1">
      <c r="Q214" s="8"/>
      <c r="R214" s="8"/>
      <c r="S214" s="8"/>
      <c r="T214" s="8"/>
      <c r="U214" s="8"/>
      <c r="V214" s="8"/>
      <c r="Y214" s="8"/>
      <c r="Z214" s="8"/>
    </row>
    <row r="215" ht="15.75" customHeight="1">
      <c r="Q215" s="8"/>
      <c r="R215" s="8"/>
      <c r="S215" s="8"/>
      <c r="T215" s="8"/>
      <c r="U215" s="8"/>
      <c r="V215" s="8"/>
      <c r="Y215" s="8"/>
      <c r="Z215" s="8"/>
    </row>
    <row r="216" ht="15.75" customHeight="1">
      <c r="Q216" s="8"/>
      <c r="R216" s="8"/>
      <c r="S216" s="8"/>
      <c r="T216" s="8"/>
      <c r="U216" s="8"/>
      <c r="V216" s="8"/>
      <c r="Y216" s="8"/>
      <c r="Z216" s="8"/>
    </row>
    <row r="217" ht="15.75" customHeight="1">
      <c r="Q217" s="8"/>
      <c r="R217" s="8"/>
      <c r="S217" s="8"/>
      <c r="T217" s="8"/>
      <c r="U217" s="8"/>
      <c r="V217" s="8"/>
      <c r="Y217" s="8"/>
      <c r="Z217" s="8"/>
    </row>
    <row r="218" ht="15.75" customHeight="1">
      <c r="Q218" s="8"/>
      <c r="R218" s="8"/>
      <c r="S218" s="8"/>
      <c r="T218" s="8"/>
      <c r="U218" s="8"/>
      <c r="V218" s="8"/>
      <c r="Y218" s="8"/>
      <c r="Z218" s="8"/>
    </row>
    <row r="219" ht="15.75" customHeight="1">
      <c r="Q219" s="8"/>
      <c r="R219" s="8"/>
      <c r="S219" s="8"/>
      <c r="T219" s="8"/>
      <c r="U219" s="8"/>
      <c r="V219" s="8"/>
      <c r="Y219" s="8"/>
      <c r="Z219" s="8"/>
    </row>
    <row r="220" ht="15.75" customHeight="1">
      <c r="Q220" s="8"/>
      <c r="R220" s="8"/>
      <c r="S220" s="8"/>
      <c r="T220" s="8"/>
      <c r="U220" s="8"/>
      <c r="V220" s="8"/>
      <c r="Y220" s="8"/>
      <c r="Z220" s="8"/>
    </row>
    <row r="221" ht="15.75" customHeight="1">
      <c r="Q221" s="8"/>
      <c r="R221" s="8"/>
      <c r="S221" s="8"/>
      <c r="T221" s="8"/>
      <c r="U221" s="8"/>
      <c r="V221" s="8"/>
      <c r="Y221" s="8"/>
      <c r="Z221" s="8"/>
    </row>
    <row r="222" ht="15.75" customHeight="1">
      <c r="Q222" s="8"/>
      <c r="R222" s="8"/>
      <c r="S222" s="8"/>
      <c r="T222" s="8"/>
      <c r="U222" s="8"/>
      <c r="V222" s="8"/>
      <c r="Y222" s="8"/>
      <c r="Z222" s="8"/>
    </row>
    <row r="223" ht="15.75" customHeight="1">
      <c r="Q223" s="8"/>
      <c r="R223" s="8"/>
      <c r="S223" s="8"/>
      <c r="T223" s="8"/>
      <c r="U223" s="8"/>
      <c r="V223" s="8"/>
      <c r="Y223" s="8"/>
      <c r="Z223" s="8"/>
    </row>
    <row r="224" ht="15.75" customHeight="1">
      <c r="Q224" s="8"/>
      <c r="R224" s="8"/>
      <c r="S224" s="8"/>
      <c r="T224" s="8"/>
      <c r="U224" s="8"/>
      <c r="V224" s="8"/>
      <c r="Y224" s="8"/>
      <c r="Z224" s="8"/>
    </row>
    <row r="225" ht="15.75" customHeight="1">
      <c r="Q225" s="8"/>
      <c r="R225" s="8"/>
      <c r="S225" s="8"/>
      <c r="T225" s="8"/>
      <c r="U225" s="8"/>
      <c r="V225" s="8"/>
      <c r="Y225" s="8"/>
      <c r="Z225" s="8"/>
    </row>
    <row r="226" ht="15.75" customHeight="1">
      <c r="Q226" s="8"/>
      <c r="R226" s="8"/>
      <c r="S226" s="8"/>
      <c r="T226" s="8"/>
      <c r="U226" s="8"/>
      <c r="V226" s="8"/>
      <c r="Y226" s="8"/>
      <c r="Z226" s="8"/>
    </row>
    <row r="227" ht="15.75" customHeight="1">
      <c r="Q227" s="8"/>
      <c r="R227" s="8"/>
      <c r="S227" s="8"/>
      <c r="T227" s="8"/>
      <c r="U227" s="8"/>
      <c r="V227" s="8"/>
      <c r="Y227" s="8"/>
      <c r="Z227" s="8"/>
    </row>
    <row r="228" ht="15.75" customHeight="1">
      <c r="Q228" s="8"/>
      <c r="R228" s="8"/>
      <c r="S228" s="8"/>
      <c r="T228" s="8"/>
      <c r="U228" s="8"/>
      <c r="V228" s="8"/>
      <c r="Y228" s="8"/>
      <c r="Z228" s="8"/>
    </row>
    <row r="229" ht="15.75" customHeight="1">
      <c r="Q229" s="8"/>
      <c r="R229" s="8"/>
      <c r="S229" s="8"/>
      <c r="T229" s="8"/>
      <c r="U229" s="8"/>
      <c r="V229" s="8"/>
      <c r="Y229" s="8"/>
      <c r="Z229" s="8"/>
    </row>
    <row r="230" ht="15.75" customHeight="1">
      <c r="Q230" s="8"/>
      <c r="R230" s="8"/>
      <c r="S230" s="8"/>
      <c r="T230" s="8"/>
      <c r="U230" s="8"/>
      <c r="V230" s="8"/>
      <c r="Y230" s="8"/>
      <c r="Z230" s="8"/>
    </row>
    <row r="231" ht="15.75" customHeight="1">
      <c r="Q231" s="8"/>
      <c r="R231" s="8"/>
      <c r="S231" s="8"/>
      <c r="T231" s="8"/>
      <c r="U231" s="8"/>
      <c r="V231" s="8"/>
      <c r="Y231" s="8"/>
      <c r="Z231" s="8"/>
    </row>
    <row r="232" ht="15.75" customHeight="1">
      <c r="Q232" s="8"/>
      <c r="R232" s="8"/>
      <c r="S232" s="8"/>
      <c r="T232" s="8"/>
      <c r="U232" s="8"/>
      <c r="V232" s="8"/>
      <c r="Y232" s="8"/>
      <c r="Z232" s="8"/>
    </row>
    <row r="233" ht="15.75" customHeight="1">
      <c r="Q233" s="8"/>
      <c r="R233" s="8"/>
      <c r="S233" s="8"/>
      <c r="T233" s="8"/>
      <c r="U233" s="8"/>
      <c r="V233" s="8"/>
      <c r="Y233" s="8"/>
      <c r="Z233" s="8"/>
    </row>
    <row r="234" ht="15.75" customHeight="1">
      <c r="Q234" s="8"/>
      <c r="R234" s="8"/>
      <c r="S234" s="8"/>
      <c r="T234" s="8"/>
      <c r="U234" s="8"/>
      <c r="V234" s="8"/>
      <c r="Y234" s="8"/>
      <c r="Z234" s="8"/>
    </row>
    <row r="235" ht="15.75" customHeight="1">
      <c r="Q235" s="8"/>
      <c r="R235" s="8"/>
      <c r="S235" s="8"/>
      <c r="T235" s="8"/>
      <c r="U235" s="8"/>
      <c r="V235" s="8"/>
      <c r="Y235" s="8"/>
      <c r="Z235" s="8"/>
    </row>
    <row r="236" ht="15.75" customHeight="1">
      <c r="Q236" s="8"/>
      <c r="R236" s="8"/>
      <c r="S236" s="8"/>
      <c r="T236" s="8"/>
      <c r="U236" s="8"/>
      <c r="V236" s="8"/>
      <c r="Y236" s="8"/>
      <c r="Z236" s="8"/>
    </row>
    <row r="237" ht="15.75" customHeight="1">
      <c r="Q237" s="8"/>
      <c r="R237" s="8"/>
      <c r="S237" s="8"/>
      <c r="T237" s="8"/>
      <c r="U237" s="8"/>
      <c r="V237" s="8"/>
      <c r="Y237" s="8"/>
      <c r="Z237" s="8"/>
    </row>
    <row r="238" ht="15.75" customHeight="1">
      <c r="Q238" s="8"/>
      <c r="R238" s="8"/>
      <c r="S238" s="8"/>
      <c r="T238" s="8"/>
      <c r="U238" s="8"/>
      <c r="V238" s="8"/>
      <c r="Y238" s="8"/>
      <c r="Z238" s="8"/>
    </row>
    <row r="239" ht="15.75" customHeight="1">
      <c r="Q239" s="8"/>
      <c r="R239" s="8"/>
      <c r="S239" s="8"/>
      <c r="T239" s="8"/>
      <c r="U239" s="8"/>
      <c r="V239" s="8"/>
      <c r="Y239" s="8"/>
      <c r="Z239" s="8"/>
    </row>
    <row r="240" ht="15.75" customHeight="1">
      <c r="Q240" s="8"/>
      <c r="R240" s="8"/>
      <c r="S240" s="8"/>
      <c r="T240" s="8"/>
      <c r="U240" s="8"/>
      <c r="V240" s="8"/>
      <c r="Y240" s="8"/>
      <c r="Z240" s="8"/>
    </row>
    <row r="241" ht="15.75" customHeight="1">
      <c r="Q241" s="8"/>
      <c r="R241" s="8"/>
      <c r="S241" s="8"/>
      <c r="T241" s="8"/>
      <c r="U241" s="8"/>
      <c r="V241" s="8"/>
      <c r="Y241" s="8"/>
      <c r="Z241" s="8"/>
    </row>
    <row r="242" ht="15.75" customHeight="1">
      <c r="Q242" s="8"/>
      <c r="R242" s="8"/>
      <c r="S242" s="8"/>
      <c r="T242" s="8"/>
      <c r="U242" s="8"/>
      <c r="V242" s="8"/>
      <c r="Y242" s="8"/>
      <c r="Z242" s="8"/>
    </row>
    <row r="243" ht="15.75" customHeight="1">
      <c r="Q243" s="8"/>
      <c r="R243" s="8"/>
      <c r="S243" s="8"/>
      <c r="T243" s="8"/>
      <c r="U243" s="8"/>
      <c r="V243" s="8"/>
      <c r="Y243" s="8"/>
      <c r="Z243" s="8"/>
    </row>
    <row r="244" ht="15.75" customHeight="1">
      <c r="Q244" s="8"/>
      <c r="R244" s="8"/>
      <c r="S244" s="8"/>
      <c r="T244" s="8"/>
      <c r="U244" s="8"/>
      <c r="V244" s="8"/>
      <c r="Y244" s="8"/>
      <c r="Z244" s="8"/>
    </row>
    <row r="245" ht="15.75" customHeight="1">
      <c r="Q245" s="8"/>
      <c r="R245" s="8"/>
      <c r="S245" s="8"/>
      <c r="T245" s="8"/>
      <c r="U245" s="8"/>
      <c r="V245" s="8"/>
      <c r="Y245" s="8"/>
      <c r="Z245" s="8"/>
    </row>
    <row r="246" ht="15.75" customHeight="1">
      <c r="Q246" s="8"/>
      <c r="R246" s="8"/>
      <c r="S246" s="8"/>
      <c r="T246" s="8"/>
      <c r="U246" s="8"/>
      <c r="V246" s="8"/>
      <c r="Y246" s="8"/>
      <c r="Z246" s="8"/>
    </row>
    <row r="247" ht="15.75" customHeight="1">
      <c r="Q247" s="8"/>
      <c r="R247" s="8"/>
      <c r="S247" s="8"/>
      <c r="T247" s="8"/>
      <c r="U247" s="8"/>
      <c r="V247" s="8"/>
      <c r="Y247" s="8"/>
      <c r="Z247" s="8"/>
    </row>
    <row r="248" ht="15.75" customHeight="1">
      <c r="Q248" s="8"/>
      <c r="R248" s="8"/>
      <c r="S248" s="8"/>
      <c r="T248" s="8"/>
      <c r="U248" s="8"/>
      <c r="V248" s="8"/>
      <c r="Y248" s="8"/>
      <c r="Z248" s="8"/>
    </row>
    <row r="249" ht="15.75" customHeight="1">
      <c r="Q249" s="8"/>
      <c r="R249" s="8"/>
      <c r="S249" s="8"/>
      <c r="T249" s="8"/>
      <c r="U249" s="8"/>
      <c r="V249" s="8"/>
      <c r="Y249" s="8"/>
      <c r="Z249" s="8"/>
    </row>
    <row r="250" ht="15.75" customHeight="1">
      <c r="Q250" s="8"/>
      <c r="R250" s="8"/>
      <c r="S250" s="8"/>
      <c r="T250" s="8"/>
      <c r="U250" s="8"/>
      <c r="V250" s="8"/>
      <c r="Y250" s="8"/>
      <c r="Z250" s="8"/>
    </row>
    <row r="251" ht="15.75" customHeight="1">
      <c r="Q251" s="8"/>
      <c r="R251" s="8"/>
      <c r="S251" s="8"/>
      <c r="T251" s="8"/>
      <c r="U251" s="8"/>
      <c r="V251" s="8"/>
      <c r="Y251" s="8"/>
      <c r="Z251" s="8"/>
    </row>
    <row r="252" ht="15.75" customHeight="1">
      <c r="Q252" s="8"/>
      <c r="R252" s="8"/>
      <c r="S252" s="8"/>
      <c r="T252" s="8"/>
      <c r="U252" s="8"/>
      <c r="V252" s="8"/>
      <c r="Y252" s="8"/>
      <c r="Z252" s="8"/>
    </row>
    <row r="253" ht="15.75" customHeight="1">
      <c r="Q253" s="8"/>
      <c r="R253" s="8"/>
      <c r="S253" s="8"/>
      <c r="T253" s="8"/>
      <c r="U253" s="8"/>
      <c r="V253" s="8"/>
      <c r="Y253" s="8"/>
      <c r="Z253" s="8"/>
    </row>
    <row r="254" ht="15.75" customHeight="1">
      <c r="Q254" s="8"/>
      <c r="R254" s="8"/>
      <c r="S254" s="8"/>
      <c r="T254" s="8"/>
      <c r="U254" s="8"/>
      <c r="V254" s="8"/>
      <c r="Y254" s="8"/>
      <c r="Z254" s="8"/>
    </row>
    <row r="255" ht="15.75" customHeight="1">
      <c r="Q255" s="8"/>
      <c r="R255" s="8"/>
      <c r="S255" s="8"/>
      <c r="T255" s="8"/>
      <c r="U255" s="8"/>
      <c r="V255" s="8"/>
      <c r="Y255" s="8"/>
      <c r="Z255" s="8"/>
    </row>
    <row r="256" ht="15.75" customHeight="1">
      <c r="Q256" s="8"/>
      <c r="R256" s="8"/>
      <c r="S256" s="8"/>
      <c r="T256" s="8"/>
      <c r="U256" s="8"/>
      <c r="V256" s="8"/>
      <c r="Y256" s="8"/>
      <c r="Z256" s="8"/>
    </row>
    <row r="257" ht="15.75" customHeight="1">
      <c r="Q257" s="8"/>
      <c r="R257" s="8"/>
      <c r="S257" s="8"/>
      <c r="T257" s="8"/>
      <c r="U257" s="8"/>
      <c r="V257" s="8"/>
      <c r="Y257" s="8"/>
      <c r="Z257" s="8"/>
    </row>
    <row r="258" ht="15.75" customHeight="1">
      <c r="Q258" s="8"/>
      <c r="R258" s="8"/>
      <c r="S258" s="8"/>
      <c r="T258" s="8"/>
      <c r="U258" s="8"/>
      <c r="V258" s="8"/>
      <c r="Y258" s="8"/>
      <c r="Z258" s="8"/>
    </row>
    <row r="259" ht="15.75" customHeight="1">
      <c r="Q259" s="8"/>
      <c r="R259" s="8"/>
      <c r="S259" s="8"/>
      <c r="T259" s="8"/>
      <c r="U259" s="8"/>
      <c r="V259" s="8"/>
      <c r="Y259" s="8"/>
      <c r="Z259" s="8"/>
    </row>
    <row r="260" ht="15.75" customHeight="1">
      <c r="Q260" s="8"/>
      <c r="R260" s="8"/>
      <c r="S260" s="8"/>
      <c r="T260" s="8"/>
      <c r="U260" s="8"/>
      <c r="V260" s="8"/>
      <c r="Y260" s="8"/>
      <c r="Z260" s="8"/>
    </row>
    <row r="261" ht="15.75" customHeight="1">
      <c r="Q261" s="8"/>
      <c r="R261" s="8"/>
      <c r="S261" s="8"/>
      <c r="T261" s="8"/>
      <c r="U261" s="8"/>
      <c r="V261" s="8"/>
      <c r="Y261" s="8"/>
      <c r="Z261" s="8"/>
    </row>
    <row r="262" ht="15.75" customHeight="1">
      <c r="Q262" s="8"/>
      <c r="R262" s="8"/>
      <c r="S262" s="8"/>
      <c r="T262" s="8"/>
      <c r="U262" s="8"/>
      <c r="V262" s="8"/>
      <c r="Y262" s="8"/>
      <c r="Z262" s="8"/>
    </row>
    <row r="263" ht="15.75" customHeight="1">
      <c r="Q263" s="8"/>
      <c r="R263" s="8"/>
      <c r="S263" s="8"/>
      <c r="T263" s="8"/>
      <c r="U263" s="8"/>
      <c r="V263" s="8"/>
      <c r="Y263" s="8"/>
      <c r="Z263" s="8"/>
    </row>
    <row r="264" ht="15.75" customHeight="1">
      <c r="Q264" s="8"/>
      <c r="R264" s="8"/>
      <c r="S264" s="8"/>
      <c r="T264" s="8"/>
      <c r="U264" s="8"/>
      <c r="V264" s="8"/>
      <c r="Y264" s="8"/>
      <c r="Z264" s="8"/>
    </row>
    <row r="265" ht="15.75" customHeight="1">
      <c r="Q265" s="8"/>
      <c r="R265" s="8"/>
      <c r="S265" s="8"/>
      <c r="T265" s="8"/>
      <c r="U265" s="8"/>
      <c r="V265" s="8"/>
      <c r="Y265" s="8"/>
      <c r="Z265" s="8"/>
    </row>
    <row r="266" ht="15.75" customHeight="1">
      <c r="Q266" s="8"/>
      <c r="R266" s="8"/>
      <c r="S266" s="8"/>
      <c r="T266" s="8"/>
      <c r="U266" s="8"/>
      <c r="V266" s="8"/>
      <c r="Y266" s="8"/>
      <c r="Z266" s="8"/>
    </row>
    <row r="267" ht="15.75" customHeight="1">
      <c r="Q267" s="8"/>
      <c r="R267" s="8"/>
      <c r="S267" s="8"/>
      <c r="T267" s="8"/>
      <c r="U267" s="8"/>
      <c r="V267" s="8"/>
      <c r="Y267" s="8"/>
      <c r="Z267" s="8"/>
    </row>
    <row r="268" ht="15.75" customHeight="1">
      <c r="Q268" s="8"/>
      <c r="R268" s="8"/>
      <c r="S268" s="8"/>
      <c r="T268" s="8"/>
      <c r="U268" s="8"/>
      <c r="V268" s="8"/>
      <c r="Y268" s="8"/>
      <c r="Z268" s="8"/>
    </row>
    <row r="269" ht="15.75" customHeight="1">
      <c r="Q269" s="8"/>
      <c r="R269" s="8"/>
      <c r="S269" s="8"/>
      <c r="T269" s="8"/>
      <c r="U269" s="8"/>
      <c r="V269" s="8"/>
      <c r="Y269" s="8"/>
      <c r="Z269" s="8"/>
    </row>
    <row r="270" ht="15.75" customHeight="1">
      <c r="Q270" s="8"/>
      <c r="R270" s="8"/>
      <c r="S270" s="8"/>
      <c r="T270" s="8"/>
      <c r="U270" s="8"/>
      <c r="V270" s="8"/>
      <c r="Y270" s="8"/>
      <c r="Z270" s="8"/>
    </row>
    <row r="271" ht="15.75" customHeight="1">
      <c r="Q271" s="8"/>
      <c r="R271" s="8"/>
      <c r="S271" s="8"/>
      <c r="T271" s="8"/>
      <c r="U271" s="8"/>
      <c r="V271" s="8"/>
      <c r="Y271" s="8"/>
      <c r="Z271" s="8"/>
    </row>
    <row r="272" ht="15.75" customHeight="1">
      <c r="Q272" s="8"/>
      <c r="R272" s="8"/>
      <c r="S272" s="8"/>
      <c r="T272" s="8"/>
      <c r="U272" s="8"/>
      <c r="V272" s="8"/>
      <c r="Y272" s="8"/>
      <c r="Z272" s="8"/>
    </row>
    <row r="273" ht="15.75" customHeight="1">
      <c r="Q273" s="8"/>
      <c r="R273" s="8"/>
      <c r="S273" s="8"/>
      <c r="T273" s="8"/>
      <c r="U273" s="8"/>
      <c r="V273" s="8"/>
      <c r="Y273" s="8"/>
      <c r="Z273" s="8"/>
    </row>
    <row r="274" ht="15.75" customHeight="1">
      <c r="Q274" s="8"/>
      <c r="R274" s="8"/>
      <c r="S274" s="8"/>
      <c r="T274" s="8"/>
      <c r="U274" s="8"/>
      <c r="V274" s="8"/>
      <c r="Y274" s="8"/>
      <c r="Z274" s="8"/>
    </row>
    <row r="275" ht="15.75" customHeight="1">
      <c r="Q275" s="8"/>
      <c r="R275" s="8"/>
      <c r="S275" s="8"/>
      <c r="T275" s="8"/>
      <c r="U275" s="8"/>
      <c r="V275" s="8"/>
      <c r="Y275" s="8"/>
      <c r="Z275" s="8"/>
    </row>
    <row r="276" ht="15.75" customHeight="1">
      <c r="Q276" s="8"/>
      <c r="R276" s="8"/>
      <c r="S276" s="8"/>
      <c r="T276" s="8"/>
      <c r="U276" s="8"/>
      <c r="V276" s="8"/>
      <c r="Y276" s="8"/>
      <c r="Z276" s="8"/>
    </row>
    <row r="277" ht="15.75" customHeight="1">
      <c r="Q277" s="8"/>
      <c r="R277" s="8"/>
      <c r="S277" s="8"/>
      <c r="T277" s="8"/>
      <c r="U277" s="8"/>
      <c r="V277" s="8"/>
      <c r="Y277" s="8"/>
      <c r="Z277" s="8"/>
    </row>
    <row r="278" ht="15.75" customHeight="1">
      <c r="Q278" s="8"/>
      <c r="R278" s="8"/>
      <c r="S278" s="8"/>
      <c r="T278" s="8"/>
      <c r="U278" s="8"/>
      <c r="V278" s="8"/>
      <c r="Y278" s="8"/>
      <c r="Z278" s="8"/>
    </row>
    <row r="279" ht="15.75" customHeight="1">
      <c r="Q279" s="8"/>
      <c r="R279" s="8"/>
      <c r="S279" s="8"/>
      <c r="T279" s="8"/>
      <c r="U279" s="8"/>
      <c r="V279" s="8"/>
      <c r="Y279" s="8"/>
      <c r="Z279" s="8"/>
    </row>
    <row r="280" ht="15.75" customHeight="1">
      <c r="Q280" s="8"/>
      <c r="R280" s="8"/>
      <c r="S280" s="8"/>
      <c r="T280" s="8"/>
      <c r="U280" s="8"/>
      <c r="V280" s="8"/>
      <c r="Y280" s="8"/>
      <c r="Z280" s="8"/>
    </row>
    <row r="281" ht="15.75" customHeight="1">
      <c r="Q281" s="8"/>
      <c r="R281" s="8"/>
      <c r="S281" s="8"/>
      <c r="T281" s="8"/>
      <c r="U281" s="8"/>
      <c r="V281" s="8"/>
      <c r="Y281" s="8"/>
      <c r="Z281" s="8"/>
    </row>
    <row r="282" ht="15.75" customHeight="1">
      <c r="Q282" s="8"/>
      <c r="R282" s="8"/>
      <c r="S282" s="8"/>
      <c r="T282" s="8"/>
      <c r="U282" s="8"/>
      <c r="V282" s="8"/>
      <c r="Y282" s="8"/>
      <c r="Z282" s="8"/>
    </row>
    <row r="283" ht="15.75" customHeight="1">
      <c r="Q283" s="8"/>
      <c r="R283" s="8"/>
      <c r="S283" s="8"/>
      <c r="T283" s="8"/>
      <c r="U283" s="8"/>
      <c r="V283" s="8"/>
      <c r="Y283" s="8"/>
      <c r="Z283" s="8"/>
    </row>
    <row r="284" ht="15.75" customHeight="1">
      <c r="Q284" s="8"/>
      <c r="R284" s="8"/>
      <c r="S284" s="8"/>
      <c r="T284" s="8"/>
      <c r="U284" s="8"/>
      <c r="V284" s="8"/>
      <c r="Y284" s="8"/>
      <c r="Z284" s="8"/>
    </row>
    <row r="285" ht="15.75" customHeight="1">
      <c r="Q285" s="8"/>
      <c r="R285" s="8"/>
      <c r="S285" s="8"/>
      <c r="T285" s="8"/>
      <c r="U285" s="8"/>
      <c r="V285" s="8"/>
      <c r="Y285" s="8"/>
      <c r="Z285" s="8"/>
    </row>
    <row r="286" ht="15.75" customHeight="1">
      <c r="Q286" s="8"/>
      <c r="R286" s="8"/>
      <c r="S286" s="8"/>
      <c r="T286" s="8"/>
      <c r="U286" s="8"/>
      <c r="V286" s="8"/>
      <c r="Y286" s="8"/>
      <c r="Z286" s="8"/>
    </row>
    <row r="287" ht="15.75" customHeight="1">
      <c r="Q287" s="8"/>
      <c r="R287" s="8"/>
      <c r="S287" s="8"/>
      <c r="T287" s="8"/>
      <c r="U287" s="8"/>
      <c r="V287" s="8"/>
      <c r="Y287" s="8"/>
      <c r="Z287" s="8"/>
    </row>
    <row r="288" ht="15.75" customHeight="1">
      <c r="Q288" s="8"/>
      <c r="R288" s="8"/>
      <c r="S288" s="8"/>
      <c r="T288" s="8"/>
      <c r="U288" s="8"/>
      <c r="V288" s="8"/>
      <c r="Y288" s="8"/>
      <c r="Z288" s="8"/>
    </row>
    <row r="289" ht="15.75" customHeight="1">
      <c r="Q289" s="8"/>
      <c r="R289" s="8"/>
      <c r="S289" s="8"/>
      <c r="T289" s="8"/>
      <c r="U289" s="8"/>
      <c r="V289" s="8"/>
      <c r="Y289" s="8"/>
      <c r="Z289" s="8"/>
    </row>
    <row r="290" ht="15.75" customHeight="1">
      <c r="Q290" s="8"/>
      <c r="R290" s="8"/>
      <c r="S290" s="8"/>
      <c r="T290" s="8"/>
      <c r="U290" s="8"/>
      <c r="V290" s="8"/>
      <c r="Y290" s="8"/>
      <c r="Z290" s="8"/>
    </row>
    <row r="291" ht="15.75" customHeight="1">
      <c r="Q291" s="8"/>
      <c r="R291" s="8"/>
      <c r="S291" s="8"/>
      <c r="T291" s="8"/>
      <c r="U291" s="8"/>
      <c r="V291" s="8"/>
      <c r="Y291" s="8"/>
      <c r="Z291" s="8"/>
    </row>
    <row r="292" ht="15.75" customHeight="1">
      <c r="Q292" s="8"/>
      <c r="R292" s="8"/>
      <c r="S292" s="8"/>
      <c r="T292" s="8"/>
      <c r="U292" s="8"/>
      <c r="V292" s="8"/>
      <c r="Y292" s="8"/>
      <c r="Z292" s="8"/>
    </row>
    <row r="293" ht="15.75" customHeight="1">
      <c r="Q293" s="8"/>
      <c r="R293" s="8"/>
      <c r="S293" s="8"/>
      <c r="T293" s="8"/>
      <c r="U293" s="8"/>
      <c r="V293" s="8"/>
      <c r="Y293" s="8"/>
      <c r="Z293" s="8"/>
    </row>
    <row r="294" ht="15.75" customHeight="1">
      <c r="Q294" s="8"/>
      <c r="R294" s="8"/>
      <c r="S294" s="8"/>
      <c r="T294" s="8"/>
      <c r="U294" s="8"/>
      <c r="V294" s="8"/>
      <c r="Y294" s="8"/>
      <c r="Z294" s="8"/>
    </row>
    <row r="295" ht="15.75" customHeight="1">
      <c r="Q295" s="8"/>
      <c r="R295" s="8"/>
      <c r="S295" s="8"/>
      <c r="T295" s="8"/>
      <c r="U295" s="8"/>
      <c r="V295" s="8"/>
      <c r="Y295" s="8"/>
      <c r="Z295" s="8"/>
    </row>
    <row r="296" ht="15.75" customHeight="1">
      <c r="Q296" s="8"/>
      <c r="R296" s="8"/>
      <c r="S296" s="8"/>
      <c r="T296" s="8"/>
      <c r="U296" s="8"/>
      <c r="V296" s="8"/>
      <c r="Y296" s="8"/>
      <c r="Z296" s="8"/>
    </row>
    <row r="297" ht="15.75" customHeight="1">
      <c r="Q297" s="8"/>
      <c r="R297" s="8"/>
      <c r="S297" s="8"/>
      <c r="T297" s="8"/>
      <c r="U297" s="8"/>
      <c r="V297" s="8"/>
      <c r="Y297" s="8"/>
      <c r="Z297" s="8"/>
    </row>
    <row r="298" ht="15.75" customHeight="1">
      <c r="Q298" s="8"/>
      <c r="R298" s="8"/>
      <c r="S298" s="8"/>
      <c r="T298" s="8"/>
      <c r="U298" s="8"/>
      <c r="V298" s="8"/>
      <c r="Y298" s="8"/>
      <c r="Z298" s="8"/>
    </row>
    <row r="299" ht="15.75" customHeight="1">
      <c r="Q299" s="8"/>
      <c r="R299" s="8"/>
      <c r="S299" s="8"/>
      <c r="T299" s="8"/>
      <c r="U299" s="8"/>
      <c r="V299" s="8"/>
      <c r="Y299" s="8"/>
      <c r="Z299" s="8"/>
    </row>
    <row r="300" ht="15.75" customHeight="1">
      <c r="Q300" s="8"/>
      <c r="R300" s="8"/>
      <c r="S300" s="8"/>
      <c r="T300" s="8"/>
      <c r="U300" s="8"/>
      <c r="V300" s="8"/>
      <c r="Y300" s="8"/>
      <c r="Z300" s="8"/>
    </row>
    <row r="301" ht="15.75" customHeight="1">
      <c r="Q301" s="8"/>
      <c r="R301" s="8"/>
      <c r="S301" s="8"/>
      <c r="T301" s="8"/>
      <c r="U301" s="8"/>
      <c r="V301" s="8"/>
      <c r="Y301" s="8"/>
      <c r="Z301" s="8"/>
    </row>
    <row r="302" ht="15.75" customHeight="1">
      <c r="Q302" s="8"/>
      <c r="R302" s="8"/>
      <c r="S302" s="8"/>
      <c r="T302" s="8"/>
      <c r="U302" s="8"/>
      <c r="V302" s="8"/>
      <c r="Y302" s="8"/>
      <c r="Z302" s="8"/>
    </row>
    <row r="303" ht="15.75" customHeight="1">
      <c r="Q303" s="8"/>
      <c r="R303" s="8"/>
      <c r="S303" s="8"/>
      <c r="T303" s="8"/>
      <c r="U303" s="8"/>
      <c r="V303" s="8"/>
      <c r="Y303" s="8"/>
      <c r="Z303" s="8"/>
    </row>
    <row r="304" ht="15.75" customHeight="1">
      <c r="Q304" s="8"/>
      <c r="R304" s="8"/>
      <c r="S304" s="8"/>
      <c r="T304" s="8"/>
      <c r="U304" s="8"/>
      <c r="V304" s="8"/>
      <c r="Y304" s="8"/>
      <c r="Z304" s="8"/>
    </row>
    <row r="305" ht="15.75" customHeight="1">
      <c r="Q305" s="8"/>
      <c r="R305" s="8"/>
      <c r="S305" s="8"/>
      <c r="T305" s="8"/>
      <c r="U305" s="8"/>
      <c r="V305" s="8"/>
      <c r="Y305" s="8"/>
      <c r="Z305" s="8"/>
    </row>
    <row r="306" ht="15.75" customHeight="1">
      <c r="Q306" s="8"/>
      <c r="R306" s="8"/>
      <c r="S306" s="8"/>
      <c r="T306" s="8"/>
      <c r="U306" s="8"/>
      <c r="V306" s="8"/>
      <c r="Y306" s="8"/>
      <c r="Z306" s="8"/>
    </row>
    <row r="307" ht="15.75" customHeight="1">
      <c r="Q307" s="8"/>
      <c r="R307" s="8"/>
      <c r="S307" s="8"/>
      <c r="T307" s="8"/>
      <c r="U307" s="8"/>
      <c r="V307" s="8"/>
      <c r="Y307" s="8"/>
      <c r="Z307" s="8"/>
    </row>
    <row r="308" ht="15.75" customHeight="1">
      <c r="Q308" s="8"/>
      <c r="R308" s="8"/>
      <c r="S308" s="8"/>
      <c r="T308" s="8"/>
      <c r="U308" s="8"/>
      <c r="V308" s="8"/>
      <c r="Y308" s="8"/>
      <c r="Z308" s="8"/>
    </row>
    <row r="309" ht="15.75" customHeight="1">
      <c r="Q309" s="8"/>
      <c r="R309" s="8"/>
      <c r="S309" s="8"/>
      <c r="T309" s="8"/>
      <c r="U309" s="8"/>
      <c r="V309" s="8"/>
      <c r="Y309" s="8"/>
      <c r="Z309" s="8"/>
    </row>
    <row r="310" ht="15.75" customHeight="1">
      <c r="Q310" s="8"/>
      <c r="R310" s="8"/>
      <c r="S310" s="8"/>
      <c r="T310" s="8"/>
      <c r="U310" s="8"/>
      <c r="V310" s="8"/>
      <c r="Y310" s="8"/>
      <c r="Z310" s="8"/>
    </row>
    <row r="311" ht="15.75" customHeight="1">
      <c r="Q311" s="8"/>
      <c r="R311" s="8"/>
      <c r="S311" s="8"/>
      <c r="T311" s="8"/>
      <c r="U311" s="8"/>
      <c r="V311" s="8"/>
      <c r="Y311" s="8"/>
      <c r="Z311" s="8"/>
    </row>
    <row r="312" ht="15.75" customHeight="1">
      <c r="Q312" s="8"/>
      <c r="R312" s="8"/>
      <c r="S312" s="8"/>
      <c r="T312" s="8"/>
      <c r="U312" s="8"/>
      <c r="V312" s="8"/>
      <c r="Y312" s="8"/>
      <c r="Z312" s="8"/>
    </row>
    <row r="313" ht="15.75" customHeight="1">
      <c r="Q313" s="8"/>
      <c r="R313" s="8"/>
      <c r="S313" s="8"/>
      <c r="T313" s="8"/>
      <c r="U313" s="8"/>
      <c r="V313" s="8"/>
      <c r="Y313" s="8"/>
      <c r="Z313" s="8"/>
    </row>
    <row r="314" ht="15.75" customHeight="1">
      <c r="Q314" s="8"/>
      <c r="R314" s="8"/>
      <c r="S314" s="8"/>
      <c r="T314" s="8"/>
      <c r="U314" s="8"/>
      <c r="V314" s="8"/>
      <c r="Y314" s="8"/>
      <c r="Z314" s="8"/>
    </row>
    <row r="315" ht="15.75" customHeight="1">
      <c r="Q315" s="8"/>
      <c r="R315" s="8"/>
      <c r="S315" s="8"/>
      <c r="T315" s="8"/>
      <c r="U315" s="8"/>
      <c r="V315" s="8"/>
      <c r="Y315" s="8"/>
      <c r="Z315" s="8"/>
    </row>
    <row r="316" ht="15.75" customHeight="1">
      <c r="Q316" s="8"/>
      <c r="R316" s="8"/>
      <c r="S316" s="8"/>
      <c r="T316" s="8"/>
      <c r="U316" s="8"/>
      <c r="V316" s="8"/>
      <c r="Y316" s="8"/>
      <c r="Z316" s="8"/>
    </row>
    <row r="317" ht="15.75" customHeight="1">
      <c r="Q317" s="8"/>
      <c r="R317" s="8"/>
      <c r="S317" s="8"/>
      <c r="T317" s="8"/>
      <c r="U317" s="8"/>
      <c r="V317" s="8"/>
      <c r="Y317" s="8"/>
      <c r="Z317" s="8"/>
    </row>
    <row r="318" ht="15.75" customHeight="1">
      <c r="Q318" s="8"/>
      <c r="R318" s="8"/>
      <c r="S318" s="8"/>
      <c r="T318" s="8"/>
      <c r="U318" s="8"/>
      <c r="V318" s="8"/>
      <c r="Y318" s="8"/>
      <c r="Z318" s="8"/>
    </row>
    <row r="319" ht="15.75" customHeight="1">
      <c r="Q319" s="8"/>
      <c r="R319" s="8"/>
      <c r="S319" s="8"/>
      <c r="T319" s="8"/>
      <c r="U319" s="8"/>
      <c r="V319" s="8"/>
      <c r="Y319" s="8"/>
      <c r="Z319" s="8"/>
    </row>
    <row r="320" ht="15.75" customHeight="1">
      <c r="Q320" s="8"/>
      <c r="R320" s="8"/>
      <c r="S320" s="8"/>
      <c r="T320" s="8"/>
      <c r="U320" s="8"/>
      <c r="V320" s="8"/>
      <c r="Y320" s="8"/>
      <c r="Z320" s="8"/>
    </row>
    <row r="321" ht="15.75" customHeight="1">
      <c r="Q321" s="8"/>
      <c r="R321" s="8"/>
      <c r="S321" s="8"/>
      <c r="T321" s="8"/>
      <c r="U321" s="8"/>
      <c r="V321" s="8"/>
      <c r="Y321" s="8"/>
      <c r="Z321" s="8"/>
    </row>
    <row r="322" ht="15.75" customHeight="1">
      <c r="Q322" s="8"/>
      <c r="R322" s="8"/>
      <c r="S322" s="8"/>
      <c r="T322" s="8"/>
      <c r="U322" s="8"/>
      <c r="V322" s="8"/>
      <c r="Y322" s="8"/>
      <c r="Z322" s="8"/>
    </row>
    <row r="323" ht="15.75" customHeight="1">
      <c r="Q323" s="8"/>
      <c r="R323" s="8"/>
      <c r="S323" s="8"/>
      <c r="T323" s="8"/>
      <c r="U323" s="8"/>
      <c r="V323" s="8"/>
      <c r="Y323" s="8"/>
      <c r="Z323" s="8"/>
    </row>
    <row r="324" ht="15.75" customHeight="1">
      <c r="Q324" s="8"/>
      <c r="R324" s="8"/>
      <c r="S324" s="8"/>
      <c r="T324" s="8"/>
      <c r="U324" s="8"/>
      <c r="V324" s="8"/>
      <c r="Y324" s="8"/>
      <c r="Z324" s="8"/>
    </row>
    <row r="325" ht="15.75" customHeight="1">
      <c r="Q325" s="8"/>
      <c r="R325" s="8"/>
      <c r="S325" s="8"/>
      <c r="T325" s="8"/>
      <c r="U325" s="8"/>
      <c r="V325" s="8"/>
      <c r="Y325" s="8"/>
      <c r="Z325" s="8"/>
    </row>
    <row r="326" ht="15.75" customHeight="1">
      <c r="Q326" s="8"/>
      <c r="R326" s="8"/>
      <c r="S326" s="8"/>
      <c r="T326" s="8"/>
      <c r="U326" s="8"/>
      <c r="V326" s="8"/>
      <c r="Y326" s="8"/>
      <c r="Z326" s="8"/>
    </row>
    <row r="327" ht="15.75" customHeight="1">
      <c r="Q327" s="8"/>
      <c r="R327" s="8"/>
      <c r="S327" s="8"/>
      <c r="T327" s="8"/>
      <c r="U327" s="8"/>
      <c r="V327" s="8"/>
      <c r="Y327" s="8"/>
      <c r="Z327" s="8"/>
    </row>
    <row r="328" ht="15.75" customHeight="1">
      <c r="Q328" s="8"/>
      <c r="R328" s="8"/>
      <c r="S328" s="8"/>
      <c r="T328" s="8"/>
      <c r="U328" s="8"/>
      <c r="V328" s="8"/>
      <c r="Y328" s="8"/>
      <c r="Z328" s="8"/>
    </row>
    <row r="329" ht="15.75" customHeight="1">
      <c r="Q329" s="8"/>
      <c r="R329" s="8"/>
      <c r="S329" s="8"/>
      <c r="T329" s="8"/>
      <c r="U329" s="8"/>
      <c r="V329" s="8"/>
      <c r="Y329" s="8"/>
      <c r="Z329" s="8"/>
    </row>
    <row r="330" ht="15.75" customHeight="1">
      <c r="Q330" s="8"/>
      <c r="R330" s="8"/>
      <c r="S330" s="8"/>
      <c r="T330" s="8"/>
      <c r="U330" s="8"/>
      <c r="V330" s="8"/>
      <c r="Y330" s="8"/>
      <c r="Z330" s="8"/>
    </row>
    <row r="331" ht="15.75" customHeight="1">
      <c r="Q331" s="8"/>
      <c r="R331" s="8"/>
      <c r="S331" s="8"/>
      <c r="T331" s="8"/>
      <c r="U331" s="8"/>
      <c r="V331" s="8"/>
      <c r="Y331" s="8"/>
      <c r="Z331" s="8"/>
    </row>
    <row r="332" ht="15.75" customHeight="1">
      <c r="Q332" s="8"/>
      <c r="R332" s="8"/>
      <c r="S332" s="8"/>
      <c r="T332" s="8"/>
      <c r="U332" s="8"/>
      <c r="V332" s="8"/>
      <c r="Y332" s="8"/>
      <c r="Z332" s="8"/>
    </row>
    <row r="333" ht="15.75" customHeight="1">
      <c r="Q333" s="8"/>
      <c r="R333" s="8"/>
      <c r="S333" s="8"/>
      <c r="T333" s="8"/>
      <c r="U333" s="8"/>
      <c r="V333" s="8"/>
      <c r="Y333" s="8"/>
      <c r="Z333" s="8"/>
    </row>
    <row r="334" ht="15.75" customHeight="1">
      <c r="Q334" s="8"/>
      <c r="R334" s="8"/>
      <c r="S334" s="8"/>
      <c r="T334" s="8"/>
      <c r="U334" s="8"/>
      <c r="V334" s="8"/>
      <c r="Y334" s="8"/>
      <c r="Z334" s="8"/>
    </row>
    <row r="335" ht="15.75" customHeight="1">
      <c r="Q335" s="8"/>
      <c r="R335" s="8"/>
      <c r="S335" s="8"/>
      <c r="T335" s="8"/>
      <c r="U335" s="8"/>
      <c r="V335" s="8"/>
      <c r="Y335" s="8"/>
      <c r="Z335" s="8"/>
    </row>
    <row r="336" ht="15.75" customHeight="1">
      <c r="Q336" s="8"/>
      <c r="R336" s="8"/>
      <c r="S336" s="8"/>
      <c r="T336" s="8"/>
      <c r="U336" s="8"/>
      <c r="V336" s="8"/>
      <c r="Y336" s="8"/>
      <c r="Z336" s="8"/>
    </row>
    <row r="337" ht="15.75" customHeight="1">
      <c r="Q337" s="8"/>
      <c r="R337" s="8"/>
      <c r="S337" s="8"/>
      <c r="T337" s="8"/>
      <c r="U337" s="8"/>
      <c r="V337" s="8"/>
      <c r="Y337" s="8"/>
      <c r="Z337" s="8"/>
    </row>
    <row r="338" ht="15.75" customHeight="1">
      <c r="Q338" s="8"/>
      <c r="R338" s="8"/>
      <c r="S338" s="8"/>
      <c r="T338" s="8"/>
      <c r="U338" s="8"/>
      <c r="V338" s="8"/>
      <c r="Y338" s="8"/>
      <c r="Z338" s="8"/>
    </row>
    <row r="339" ht="15.75" customHeight="1">
      <c r="Q339" s="8"/>
      <c r="R339" s="8"/>
      <c r="S339" s="8"/>
      <c r="T339" s="8"/>
      <c r="U339" s="8"/>
      <c r="V339" s="8"/>
      <c r="Y339" s="8"/>
      <c r="Z339" s="8"/>
    </row>
    <row r="340" ht="15.75" customHeight="1">
      <c r="Q340" s="8"/>
      <c r="R340" s="8"/>
      <c r="S340" s="8"/>
      <c r="T340" s="8"/>
      <c r="U340" s="8"/>
      <c r="V340" s="8"/>
      <c r="Y340" s="8"/>
      <c r="Z340" s="8"/>
    </row>
    <row r="341" ht="15.75" customHeight="1">
      <c r="Q341" s="8"/>
      <c r="R341" s="8"/>
      <c r="S341" s="8"/>
      <c r="T341" s="8"/>
      <c r="U341" s="8"/>
      <c r="V341" s="8"/>
      <c r="Y341" s="8"/>
      <c r="Z341" s="8"/>
    </row>
    <row r="342" ht="15.75" customHeight="1">
      <c r="Q342" s="8"/>
      <c r="R342" s="8"/>
      <c r="S342" s="8"/>
      <c r="T342" s="8"/>
      <c r="U342" s="8"/>
      <c r="V342" s="8"/>
      <c r="Y342" s="8"/>
      <c r="Z342" s="8"/>
    </row>
    <row r="343" ht="15.75" customHeight="1">
      <c r="Q343" s="8"/>
      <c r="R343" s="8"/>
      <c r="S343" s="8"/>
      <c r="T343" s="8"/>
      <c r="U343" s="8"/>
      <c r="V343" s="8"/>
      <c r="Y343" s="8"/>
      <c r="Z343" s="8"/>
    </row>
    <row r="344" ht="15.75" customHeight="1">
      <c r="Q344" s="8"/>
      <c r="R344" s="8"/>
      <c r="S344" s="8"/>
      <c r="T344" s="8"/>
      <c r="U344" s="8"/>
      <c r="V344" s="8"/>
      <c r="Y344" s="8"/>
      <c r="Z344" s="8"/>
    </row>
    <row r="345" ht="15.75" customHeight="1">
      <c r="Q345" s="8"/>
      <c r="R345" s="8"/>
      <c r="S345" s="8"/>
      <c r="T345" s="8"/>
      <c r="U345" s="8"/>
      <c r="V345" s="8"/>
      <c r="Y345" s="8"/>
      <c r="Z345" s="8"/>
    </row>
    <row r="346" ht="15.75" customHeight="1">
      <c r="Q346" s="8"/>
      <c r="R346" s="8"/>
      <c r="S346" s="8"/>
      <c r="T346" s="8"/>
      <c r="U346" s="8"/>
      <c r="V346" s="8"/>
      <c r="Y346" s="8"/>
      <c r="Z346" s="8"/>
    </row>
    <row r="347" ht="15.75" customHeight="1">
      <c r="Q347" s="8"/>
      <c r="R347" s="8"/>
      <c r="S347" s="8"/>
      <c r="T347" s="8"/>
      <c r="U347" s="8"/>
      <c r="V347" s="8"/>
      <c r="Y347" s="8"/>
      <c r="Z347" s="8"/>
    </row>
    <row r="348" ht="15.75" customHeight="1">
      <c r="Q348" s="8"/>
      <c r="R348" s="8"/>
      <c r="S348" s="8"/>
      <c r="T348" s="8"/>
      <c r="U348" s="8"/>
      <c r="V348" s="8"/>
      <c r="Y348" s="8"/>
      <c r="Z348" s="8"/>
    </row>
    <row r="349" ht="15.75" customHeight="1">
      <c r="Q349" s="8"/>
      <c r="R349" s="8"/>
      <c r="S349" s="8"/>
      <c r="T349" s="8"/>
      <c r="U349" s="8"/>
      <c r="V349" s="8"/>
      <c r="Y349" s="8"/>
      <c r="Z349" s="8"/>
    </row>
    <row r="350" ht="15.75" customHeight="1">
      <c r="Q350" s="8"/>
      <c r="R350" s="8"/>
      <c r="S350" s="8"/>
      <c r="T350" s="8"/>
      <c r="U350" s="8"/>
      <c r="V350" s="8"/>
      <c r="Y350" s="8"/>
      <c r="Z350" s="8"/>
    </row>
    <row r="351" ht="15.75" customHeight="1">
      <c r="Q351" s="8"/>
      <c r="R351" s="8"/>
      <c r="S351" s="8"/>
      <c r="T351" s="8"/>
      <c r="U351" s="8"/>
      <c r="V351" s="8"/>
      <c r="Y351" s="8"/>
      <c r="Z351" s="8"/>
    </row>
    <row r="352" ht="15.75" customHeight="1">
      <c r="Q352" s="8"/>
      <c r="R352" s="8"/>
      <c r="S352" s="8"/>
      <c r="T352" s="8"/>
      <c r="U352" s="8"/>
      <c r="V352" s="8"/>
      <c r="Y352" s="8"/>
      <c r="Z352" s="8"/>
    </row>
    <row r="353" ht="15.75" customHeight="1">
      <c r="Q353" s="8"/>
      <c r="R353" s="8"/>
      <c r="S353" s="8"/>
      <c r="T353" s="8"/>
      <c r="U353" s="8"/>
      <c r="V353" s="8"/>
      <c r="Y353" s="8"/>
      <c r="Z353" s="8"/>
    </row>
    <row r="354" ht="15.75" customHeight="1">
      <c r="Q354" s="8"/>
      <c r="R354" s="8"/>
      <c r="S354" s="8"/>
      <c r="T354" s="8"/>
      <c r="U354" s="8"/>
      <c r="V354" s="8"/>
      <c r="Y354" s="8"/>
      <c r="Z354" s="8"/>
    </row>
    <row r="355" ht="15.75" customHeight="1">
      <c r="Q355" s="8"/>
      <c r="R355" s="8"/>
      <c r="S355" s="8"/>
      <c r="T355" s="8"/>
      <c r="U355" s="8"/>
      <c r="V355" s="8"/>
      <c r="Y355" s="8"/>
      <c r="Z355" s="8"/>
    </row>
    <row r="356" ht="15.75" customHeight="1">
      <c r="Q356" s="8"/>
      <c r="R356" s="8"/>
      <c r="S356" s="8"/>
      <c r="T356" s="8"/>
      <c r="U356" s="8"/>
      <c r="V356" s="8"/>
      <c r="Y356" s="8"/>
      <c r="Z356" s="8"/>
    </row>
    <row r="357" ht="15.75" customHeight="1">
      <c r="Q357" s="8"/>
      <c r="R357" s="8"/>
      <c r="S357" s="8"/>
      <c r="T357" s="8"/>
      <c r="U357" s="8"/>
      <c r="V357" s="8"/>
      <c r="Y357" s="8"/>
      <c r="Z357" s="8"/>
    </row>
    <row r="358" ht="15.75" customHeight="1">
      <c r="Q358" s="8"/>
      <c r="R358" s="8"/>
      <c r="S358" s="8"/>
      <c r="T358" s="8"/>
      <c r="U358" s="8"/>
      <c r="V358" s="8"/>
      <c r="Y358" s="8"/>
      <c r="Z358" s="8"/>
    </row>
    <row r="359" ht="15.75" customHeight="1">
      <c r="Q359" s="8"/>
      <c r="R359" s="8"/>
      <c r="S359" s="8"/>
      <c r="T359" s="8"/>
      <c r="U359" s="8"/>
      <c r="V359" s="8"/>
      <c r="Y359" s="8"/>
      <c r="Z359" s="8"/>
    </row>
    <row r="360" ht="15.75" customHeight="1">
      <c r="Q360" s="8"/>
      <c r="R360" s="8"/>
      <c r="S360" s="8"/>
      <c r="T360" s="8"/>
      <c r="U360" s="8"/>
      <c r="V360" s="8"/>
      <c r="Y360" s="8"/>
      <c r="Z360" s="8"/>
    </row>
    <row r="361" ht="15.75" customHeight="1">
      <c r="Q361" s="8"/>
      <c r="R361" s="8"/>
      <c r="S361" s="8"/>
      <c r="T361" s="8"/>
      <c r="U361" s="8"/>
      <c r="V361" s="8"/>
      <c r="Y361" s="8"/>
      <c r="Z361" s="8"/>
    </row>
    <row r="362" ht="15.75" customHeight="1">
      <c r="Q362" s="8"/>
      <c r="R362" s="8"/>
      <c r="S362" s="8"/>
      <c r="T362" s="8"/>
      <c r="U362" s="8"/>
      <c r="V362" s="8"/>
      <c r="Y362" s="8"/>
      <c r="Z362" s="8"/>
    </row>
    <row r="363" ht="15.75" customHeight="1">
      <c r="Q363" s="8"/>
      <c r="R363" s="8"/>
      <c r="S363" s="8"/>
      <c r="T363" s="8"/>
      <c r="U363" s="8"/>
      <c r="V363" s="8"/>
      <c r="Y363" s="8"/>
      <c r="Z363" s="8"/>
    </row>
    <row r="364" ht="15.75" customHeight="1">
      <c r="Q364" s="8"/>
      <c r="R364" s="8"/>
      <c r="S364" s="8"/>
      <c r="T364" s="8"/>
      <c r="U364" s="8"/>
      <c r="V364" s="8"/>
      <c r="Y364" s="8"/>
      <c r="Z364" s="8"/>
    </row>
    <row r="365" ht="15.75" customHeight="1">
      <c r="Q365" s="8"/>
      <c r="R365" s="8"/>
      <c r="S365" s="8"/>
      <c r="T365" s="8"/>
      <c r="U365" s="8"/>
      <c r="V365" s="8"/>
      <c r="Y365" s="8"/>
      <c r="Z365" s="8"/>
    </row>
    <row r="366" ht="15.75" customHeight="1">
      <c r="Q366" s="8"/>
      <c r="R366" s="8"/>
      <c r="S366" s="8"/>
      <c r="T366" s="8"/>
      <c r="U366" s="8"/>
      <c r="V366" s="8"/>
      <c r="Y366" s="8"/>
      <c r="Z366" s="8"/>
    </row>
    <row r="367" ht="15.75" customHeight="1">
      <c r="Q367" s="8"/>
      <c r="R367" s="8"/>
      <c r="S367" s="8"/>
      <c r="T367" s="8"/>
      <c r="U367" s="8"/>
      <c r="V367" s="8"/>
      <c r="Y367" s="8"/>
      <c r="Z367" s="8"/>
    </row>
    <row r="368" ht="15.75" customHeight="1">
      <c r="Q368" s="8"/>
      <c r="R368" s="8"/>
      <c r="S368" s="8"/>
      <c r="T368" s="8"/>
      <c r="U368" s="8"/>
      <c r="V368" s="8"/>
      <c r="Y368" s="8"/>
      <c r="Z368" s="8"/>
    </row>
    <row r="369" ht="15.75" customHeight="1">
      <c r="Q369" s="8"/>
      <c r="R369" s="8"/>
      <c r="S369" s="8"/>
      <c r="T369" s="8"/>
      <c r="U369" s="8"/>
      <c r="V369" s="8"/>
      <c r="Y369" s="8"/>
      <c r="Z369" s="8"/>
    </row>
    <row r="370" ht="15.75" customHeight="1">
      <c r="Q370" s="8"/>
      <c r="R370" s="8"/>
      <c r="S370" s="8"/>
      <c r="T370" s="8"/>
      <c r="U370" s="8"/>
      <c r="V370" s="8"/>
      <c r="Y370" s="8"/>
      <c r="Z370" s="8"/>
    </row>
    <row r="371" ht="15.75" customHeight="1">
      <c r="Q371" s="8"/>
      <c r="R371" s="8"/>
      <c r="S371" s="8"/>
      <c r="T371" s="8"/>
      <c r="U371" s="8"/>
      <c r="V371" s="8"/>
      <c r="Y371" s="8"/>
      <c r="Z371" s="8"/>
    </row>
    <row r="372" ht="15.75" customHeight="1">
      <c r="Q372" s="8"/>
      <c r="R372" s="8"/>
      <c r="S372" s="8"/>
      <c r="T372" s="8"/>
      <c r="U372" s="8"/>
      <c r="V372" s="8"/>
      <c r="Y372" s="8"/>
      <c r="Z372" s="8"/>
    </row>
    <row r="373" ht="15.75" customHeight="1">
      <c r="Q373" s="8"/>
      <c r="R373" s="8"/>
      <c r="S373" s="8"/>
      <c r="T373" s="8"/>
      <c r="U373" s="8"/>
      <c r="V373" s="8"/>
      <c r="Y373" s="8"/>
      <c r="Z373" s="8"/>
    </row>
    <row r="374" ht="15.75" customHeight="1">
      <c r="Q374" s="8"/>
      <c r="R374" s="8"/>
      <c r="S374" s="8"/>
      <c r="T374" s="8"/>
      <c r="U374" s="8"/>
      <c r="V374" s="8"/>
      <c r="Y374" s="8"/>
      <c r="Z374" s="8"/>
    </row>
    <row r="375" ht="15.75" customHeight="1">
      <c r="Q375" s="8"/>
      <c r="R375" s="8"/>
      <c r="S375" s="8"/>
      <c r="T375" s="8"/>
      <c r="U375" s="8"/>
      <c r="V375" s="8"/>
      <c r="Y375" s="8"/>
      <c r="Z375" s="8"/>
    </row>
    <row r="376" ht="15.75" customHeight="1">
      <c r="Q376" s="8"/>
      <c r="R376" s="8"/>
      <c r="S376" s="8"/>
      <c r="T376" s="8"/>
      <c r="U376" s="8"/>
      <c r="V376" s="8"/>
      <c r="Y376" s="8"/>
      <c r="Z376" s="8"/>
    </row>
    <row r="377" ht="15.75" customHeight="1">
      <c r="Q377" s="8"/>
      <c r="R377" s="8"/>
      <c r="S377" s="8"/>
      <c r="T377" s="8"/>
      <c r="U377" s="8"/>
      <c r="V377" s="8"/>
      <c r="Y377" s="8"/>
      <c r="Z377" s="8"/>
    </row>
    <row r="378" ht="15.75" customHeight="1">
      <c r="Q378" s="8"/>
      <c r="R378" s="8"/>
      <c r="S378" s="8"/>
      <c r="T378" s="8"/>
      <c r="U378" s="8"/>
      <c r="V378" s="8"/>
      <c r="Y378" s="8"/>
      <c r="Z378" s="8"/>
    </row>
    <row r="379" ht="15.75" customHeight="1">
      <c r="Q379" s="8"/>
      <c r="R379" s="8"/>
      <c r="S379" s="8"/>
      <c r="T379" s="8"/>
      <c r="U379" s="8"/>
      <c r="V379" s="8"/>
      <c r="Y379" s="8"/>
      <c r="Z379" s="8"/>
    </row>
    <row r="380" ht="15.75" customHeight="1">
      <c r="Q380" s="8"/>
      <c r="R380" s="8"/>
      <c r="S380" s="8"/>
      <c r="T380" s="8"/>
      <c r="U380" s="8"/>
      <c r="V380" s="8"/>
      <c r="Y380" s="8"/>
      <c r="Z380" s="8"/>
    </row>
    <row r="381" ht="15.75" customHeight="1">
      <c r="Q381" s="8"/>
      <c r="R381" s="8"/>
      <c r="S381" s="8"/>
      <c r="T381" s="8"/>
      <c r="U381" s="8"/>
      <c r="V381" s="8"/>
      <c r="Y381" s="8"/>
      <c r="Z381" s="8"/>
    </row>
    <row r="382" ht="15.75" customHeight="1">
      <c r="Q382" s="8"/>
      <c r="R382" s="8"/>
      <c r="S382" s="8"/>
      <c r="T382" s="8"/>
      <c r="U382" s="8"/>
      <c r="V382" s="8"/>
      <c r="Y382" s="8"/>
      <c r="Z382" s="8"/>
    </row>
    <row r="383" ht="15.75" customHeight="1">
      <c r="Q383" s="8"/>
      <c r="R383" s="8"/>
      <c r="S383" s="8"/>
      <c r="T383" s="8"/>
      <c r="U383" s="8"/>
      <c r="V383" s="8"/>
      <c r="Y383" s="8"/>
      <c r="Z383" s="8"/>
    </row>
    <row r="384" ht="15.75" customHeight="1">
      <c r="Q384" s="8"/>
      <c r="R384" s="8"/>
      <c r="S384" s="8"/>
      <c r="T384" s="8"/>
      <c r="U384" s="8"/>
      <c r="V384" s="8"/>
      <c r="Y384" s="8"/>
      <c r="Z384" s="8"/>
    </row>
    <row r="385" ht="15.75" customHeight="1">
      <c r="Q385" s="8"/>
      <c r="R385" s="8"/>
      <c r="S385" s="8"/>
      <c r="T385" s="8"/>
      <c r="U385" s="8"/>
      <c r="V385" s="8"/>
      <c r="Y385" s="8"/>
      <c r="Z385" s="8"/>
    </row>
    <row r="386" ht="15.75" customHeight="1">
      <c r="Q386" s="8"/>
      <c r="R386" s="8"/>
      <c r="S386" s="8"/>
      <c r="T386" s="8"/>
      <c r="U386" s="8"/>
      <c r="V386" s="8"/>
      <c r="Y386" s="8"/>
      <c r="Z386" s="8"/>
    </row>
    <row r="387" ht="15.75" customHeight="1">
      <c r="Q387" s="8"/>
      <c r="R387" s="8"/>
      <c r="S387" s="8"/>
      <c r="T387" s="8"/>
      <c r="U387" s="8"/>
      <c r="V387" s="8"/>
      <c r="Y387" s="8"/>
      <c r="Z387" s="8"/>
    </row>
    <row r="388" ht="15.75" customHeight="1">
      <c r="Q388" s="8"/>
      <c r="R388" s="8"/>
      <c r="S388" s="8"/>
      <c r="T388" s="8"/>
      <c r="U388" s="8"/>
      <c r="V388" s="8"/>
      <c r="Y388" s="8"/>
      <c r="Z388" s="8"/>
    </row>
    <row r="389" ht="15.75" customHeight="1">
      <c r="Q389" s="8"/>
      <c r="R389" s="8"/>
      <c r="S389" s="8"/>
      <c r="T389" s="8"/>
      <c r="U389" s="8"/>
      <c r="V389" s="8"/>
      <c r="Y389" s="8"/>
      <c r="Z389" s="8"/>
    </row>
    <row r="390" ht="15.75" customHeight="1">
      <c r="Q390" s="8"/>
      <c r="R390" s="8"/>
      <c r="S390" s="8"/>
      <c r="T390" s="8"/>
      <c r="U390" s="8"/>
      <c r="V390" s="8"/>
      <c r="Y390" s="8"/>
      <c r="Z390" s="8"/>
    </row>
    <row r="391" ht="15.75" customHeight="1">
      <c r="Q391" s="8"/>
      <c r="R391" s="8"/>
      <c r="S391" s="8"/>
      <c r="T391" s="8"/>
      <c r="U391" s="8"/>
      <c r="V391" s="8"/>
      <c r="Y391" s="8"/>
      <c r="Z391" s="8"/>
    </row>
    <row r="392" ht="15.75" customHeight="1">
      <c r="Q392" s="8"/>
      <c r="R392" s="8"/>
      <c r="S392" s="8"/>
      <c r="T392" s="8"/>
      <c r="U392" s="8"/>
      <c r="V392" s="8"/>
      <c r="Y392" s="8"/>
      <c r="Z392" s="8"/>
    </row>
    <row r="393" ht="15.75" customHeight="1">
      <c r="Q393" s="8"/>
      <c r="R393" s="8"/>
      <c r="S393" s="8"/>
      <c r="T393" s="8"/>
      <c r="U393" s="8"/>
      <c r="V393" s="8"/>
      <c r="Y393" s="8"/>
      <c r="Z393" s="8"/>
    </row>
    <row r="394" ht="15.75" customHeight="1">
      <c r="Q394" s="8"/>
      <c r="R394" s="8"/>
      <c r="S394" s="8"/>
      <c r="T394" s="8"/>
      <c r="U394" s="8"/>
      <c r="V394" s="8"/>
      <c r="Y394" s="8"/>
      <c r="Z394" s="8"/>
    </row>
    <row r="395" ht="15.75" customHeight="1">
      <c r="Q395" s="8"/>
      <c r="R395" s="8"/>
      <c r="S395" s="8"/>
      <c r="T395" s="8"/>
      <c r="U395" s="8"/>
      <c r="V395" s="8"/>
      <c r="Y395" s="8"/>
      <c r="Z395" s="8"/>
    </row>
    <row r="396" ht="15.75" customHeight="1">
      <c r="Q396" s="8"/>
      <c r="R396" s="8"/>
      <c r="S396" s="8"/>
      <c r="T396" s="8"/>
      <c r="U396" s="8"/>
      <c r="V396" s="8"/>
      <c r="Y396" s="8"/>
      <c r="Z396" s="8"/>
    </row>
    <row r="397" ht="15.75" customHeight="1">
      <c r="Q397" s="8"/>
      <c r="R397" s="8"/>
      <c r="S397" s="8"/>
      <c r="T397" s="8"/>
      <c r="U397" s="8"/>
      <c r="V397" s="8"/>
      <c r="Y397" s="8"/>
      <c r="Z397" s="8"/>
    </row>
    <row r="398" ht="15.75" customHeight="1">
      <c r="Q398" s="8"/>
      <c r="R398" s="8"/>
      <c r="S398" s="8"/>
      <c r="T398" s="8"/>
      <c r="U398" s="8"/>
      <c r="V398" s="8"/>
      <c r="Y398" s="8"/>
      <c r="Z398" s="8"/>
    </row>
    <row r="399" ht="15.75" customHeight="1">
      <c r="Q399" s="8"/>
      <c r="R399" s="8"/>
      <c r="S399" s="8"/>
      <c r="T399" s="8"/>
      <c r="U399" s="8"/>
      <c r="V399" s="8"/>
      <c r="Y399" s="8"/>
      <c r="Z399" s="8"/>
    </row>
    <row r="400" ht="15.75" customHeight="1">
      <c r="Q400" s="8"/>
      <c r="R400" s="8"/>
      <c r="S400" s="8"/>
      <c r="T400" s="8"/>
      <c r="U400" s="8"/>
      <c r="V400" s="8"/>
      <c r="Y400" s="8"/>
      <c r="Z400" s="8"/>
    </row>
    <row r="401" ht="15.75" customHeight="1">
      <c r="Q401" s="8"/>
      <c r="R401" s="8"/>
      <c r="S401" s="8"/>
      <c r="T401" s="8"/>
      <c r="U401" s="8"/>
      <c r="V401" s="8"/>
      <c r="Y401" s="8"/>
      <c r="Z401" s="8"/>
    </row>
    <row r="402" ht="15.75" customHeight="1">
      <c r="Q402" s="8"/>
      <c r="R402" s="8"/>
      <c r="S402" s="8"/>
      <c r="T402" s="8"/>
      <c r="U402" s="8"/>
      <c r="V402" s="8"/>
      <c r="Y402" s="8"/>
      <c r="Z402" s="8"/>
    </row>
    <row r="403" ht="15.75" customHeight="1">
      <c r="Q403" s="8"/>
      <c r="R403" s="8"/>
      <c r="S403" s="8"/>
      <c r="T403" s="8"/>
      <c r="U403" s="8"/>
      <c r="V403" s="8"/>
      <c r="Y403" s="8"/>
      <c r="Z403" s="8"/>
    </row>
    <row r="404" ht="15.75" customHeight="1">
      <c r="Q404" s="8"/>
      <c r="R404" s="8"/>
      <c r="S404" s="8"/>
      <c r="T404" s="8"/>
      <c r="U404" s="8"/>
      <c r="V404" s="8"/>
      <c r="Y404" s="8"/>
      <c r="Z404" s="8"/>
    </row>
    <row r="405" ht="15.75" customHeight="1">
      <c r="Q405" s="8"/>
      <c r="R405" s="8"/>
      <c r="S405" s="8"/>
      <c r="T405" s="8"/>
      <c r="U405" s="8"/>
      <c r="V405" s="8"/>
      <c r="Y405" s="8"/>
      <c r="Z405" s="8"/>
    </row>
    <row r="406" ht="15.75" customHeight="1">
      <c r="Q406" s="8"/>
      <c r="R406" s="8"/>
      <c r="S406" s="8"/>
      <c r="T406" s="8"/>
      <c r="U406" s="8"/>
      <c r="V406" s="8"/>
      <c r="Y406" s="8"/>
      <c r="Z406" s="8"/>
    </row>
    <row r="407" ht="15.75" customHeight="1">
      <c r="Q407" s="8"/>
      <c r="R407" s="8"/>
      <c r="S407" s="8"/>
      <c r="T407" s="8"/>
      <c r="U407" s="8"/>
      <c r="V407" s="8"/>
      <c r="Y407" s="8"/>
      <c r="Z407" s="8"/>
    </row>
    <row r="408" ht="15.75" customHeight="1">
      <c r="Q408" s="8"/>
      <c r="R408" s="8"/>
      <c r="S408" s="8"/>
      <c r="T408" s="8"/>
      <c r="U408" s="8"/>
      <c r="V408" s="8"/>
      <c r="Y408" s="8"/>
      <c r="Z408" s="8"/>
    </row>
    <row r="409" ht="15.75" customHeight="1">
      <c r="Q409" s="8"/>
      <c r="R409" s="8"/>
      <c r="S409" s="8"/>
      <c r="T409" s="8"/>
      <c r="U409" s="8"/>
      <c r="V409" s="8"/>
      <c r="Y409" s="8"/>
      <c r="Z409" s="8"/>
    </row>
    <row r="410" ht="15.75" customHeight="1">
      <c r="Q410" s="8"/>
      <c r="R410" s="8"/>
      <c r="S410" s="8"/>
      <c r="T410" s="8"/>
      <c r="U410" s="8"/>
      <c r="V410" s="8"/>
      <c r="Y410" s="8"/>
      <c r="Z410" s="8"/>
    </row>
    <row r="411" ht="15.75" customHeight="1">
      <c r="Q411" s="8"/>
      <c r="R411" s="8"/>
      <c r="S411" s="8"/>
      <c r="T411" s="8"/>
      <c r="U411" s="8"/>
      <c r="V411" s="8"/>
      <c r="Y411" s="8"/>
      <c r="Z411" s="8"/>
    </row>
    <row r="412" ht="15.75" customHeight="1">
      <c r="Q412" s="8"/>
      <c r="R412" s="8"/>
      <c r="S412" s="8"/>
      <c r="T412" s="8"/>
      <c r="U412" s="8"/>
      <c r="V412" s="8"/>
      <c r="Y412" s="8"/>
      <c r="Z412" s="8"/>
    </row>
    <row r="413" ht="15.75" customHeight="1">
      <c r="Q413" s="8"/>
      <c r="R413" s="8"/>
      <c r="S413" s="8"/>
      <c r="T413" s="8"/>
      <c r="U413" s="8"/>
      <c r="V413" s="8"/>
      <c r="Y413" s="8"/>
      <c r="Z413" s="8"/>
    </row>
    <row r="414" ht="15.75" customHeight="1">
      <c r="Q414" s="8"/>
      <c r="R414" s="8"/>
      <c r="S414" s="8"/>
      <c r="T414" s="8"/>
      <c r="U414" s="8"/>
      <c r="V414" s="8"/>
      <c r="Y414" s="8"/>
      <c r="Z414" s="8"/>
    </row>
    <row r="415" ht="15.75" customHeight="1">
      <c r="Q415" s="8"/>
      <c r="R415" s="8"/>
      <c r="S415" s="8"/>
      <c r="T415" s="8"/>
      <c r="U415" s="8"/>
      <c r="V415" s="8"/>
      <c r="Y415" s="8"/>
      <c r="Z415" s="8"/>
    </row>
    <row r="416" ht="15.75" customHeight="1">
      <c r="Q416" s="8"/>
      <c r="R416" s="8"/>
      <c r="S416" s="8"/>
      <c r="T416" s="8"/>
      <c r="U416" s="8"/>
      <c r="V416" s="8"/>
      <c r="Y416" s="8"/>
      <c r="Z416" s="8"/>
    </row>
    <row r="417" ht="15.75" customHeight="1">
      <c r="Q417" s="8"/>
      <c r="R417" s="8"/>
      <c r="S417" s="8"/>
      <c r="T417" s="8"/>
      <c r="U417" s="8"/>
      <c r="V417" s="8"/>
      <c r="Y417" s="8"/>
      <c r="Z417" s="8"/>
    </row>
    <row r="418" ht="15.75" customHeight="1">
      <c r="Q418" s="8"/>
      <c r="R418" s="8"/>
      <c r="S418" s="8"/>
      <c r="T418" s="8"/>
      <c r="U418" s="8"/>
      <c r="V418" s="8"/>
      <c r="Y418" s="8"/>
      <c r="Z418" s="8"/>
    </row>
    <row r="419" ht="15.75" customHeight="1">
      <c r="Q419" s="8"/>
      <c r="R419" s="8"/>
      <c r="S419" s="8"/>
      <c r="T419" s="8"/>
      <c r="U419" s="8"/>
      <c r="V419" s="8"/>
      <c r="Y419" s="8"/>
      <c r="Z419" s="8"/>
    </row>
    <row r="420" ht="15.75" customHeight="1">
      <c r="Q420" s="8"/>
      <c r="R420" s="8"/>
      <c r="S420" s="8"/>
      <c r="T420" s="8"/>
      <c r="U420" s="8"/>
      <c r="V420" s="8"/>
      <c r="Y420" s="8"/>
      <c r="Z420" s="8"/>
    </row>
    <row r="421" ht="15.75" customHeight="1">
      <c r="Q421" s="8"/>
      <c r="R421" s="8"/>
      <c r="S421" s="8"/>
      <c r="T421" s="8"/>
      <c r="U421" s="8"/>
      <c r="V421" s="8"/>
      <c r="Y421" s="8"/>
      <c r="Z421" s="8"/>
    </row>
    <row r="422" ht="15.75" customHeight="1">
      <c r="Q422" s="8"/>
      <c r="R422" s="8"/>
      <c r="S422" s="8"/>
      <c r="T422" s="8"/>
      <c r="U422" s="8"/>
      <c r="V422" s="8"/>
      <c r="Y422" s="8"/>
      <c r="Z422" s="8"/>
    </row>
    <row r="423" ht="15.75" customHeight="1">
      <c r="Q423" s="8"/>
      <c r="R423" s="8"/>
      <c r="S423" s="8"/>
      <c r="T423" s="8"/>
      <c r="U423" s="8"/>
      <c r="V423" s="8"/>
      <c r="Y423" s="8"/>
      <c r="Z423" s="8"/>
    </row>
    <row r="424" ht="15.75" customHeight="1">
      <c r="Q424" s="8"/>
      <c r="R424" s="8"/>
      <c r="S424" s="8"/>
      <c r="T424" s="8"/>
      <c r="U424" s="8"/>
      <c r="V424" s="8"/>
      <c r="Y424" s="8"/>
      <c r="Z424" s="8"/>
    </row>
    <row r="425" ht="15.75" customHeight="1">
      <c r="Q425" s="8"/>
      <c r="R425" s="8"/>
      <c r="S425" s="8"/>
      <c r="T425" s="8"/>
      <c r="U425" s="8"/>
      <c r="V425" s="8"/>
      <c r="Y425" s="8"/>
      <c r="Z425" s="8"/>
    </row>
    <row r="426" ht="15.75" customHeight="1">
      <c r="Q426" s="8"/>
      <c r="R426" s="8"/>
      <c r="S426" s="8"/>
      <c r="T426" s="8"/>
      <c r="U426" s="8"/>
      <c r="V426" s="8"/>
      <c r="Y426" s="8"/>
      <c r="Z426" s="8"/>
    </row>
    <row r="427" ht="15.75" customHeight="1">
      <c r="Q427" s="8"/>
      <c r="R427" s="8"/>
      <c r="S427" s="8"/>
      <c r="T427" s="8"/>
      <c r="U427" s="8"/>
      <c r="V427" s="8"/>
      <c r="Y427" s="8"/>
      <c r="Z427" s="8"/>
    </row>
    <row r="428" ht="15.75" customHeight="1">
      <c r="Q428" s="8"/>
      <c r="R428" s="8"/>
      <c r="S428" s="8"/>
      <c r="T428" s="8"/>
      <c r="U428" s="8"/>
      <c r="V428" s="8"/>
      <c r="Y428" s="8"/>
      <c r="Z428" s="8"/>
    </row>
    <row r="429" ht="15.75" customHeight="1">
      <c r="Q429" s="8"/>
      <c r="R429" s="8"/>
      <c r="S429" s="8"/>
      <c r="T429" s="8"/>
      <c r="U429" s="8"/>
      <c r="V429" s="8"/>
      <c r="Y429" s="8"/>
      <c r="Z429" s="8"/>
    </row>
    <row r="430" ht="15.75" customHeight="1">
      <c r="Q430" s="8"/>
      <c r="R430" s="8"/>
      <c r="S430" s="8"/>
      <c r="T430" s="8"/>
      <c r="U430" s="8"/>
      <c r="V430" s="8"/>
      <c r="Y430" s="8"/>
      <c r="Z430" s="8"/>
    </row>
    <row r="431" ht="15.75" customHeight="1">
      <c r="Q431" s="8"/>
      <c r="R431" s="8"/>
      <c r="S431" s="8"/>
      <c r="T431" s="8"/>
      <c r="U431" s="8"/>
      <c r="V431" s="8"/>
      <c r="Y431" s="8"/>
      <c r="Z431" s="8"/>
    </row>
    <row r="432" ht="15.75" customHeight="1">
      <c r="Q432" s="8"/>
      <c r="R432" s="8"/>
      <c r="S432" s="8"/>
      <c r="T432" s="8"/>
      <c r="U432" s="8"/>
      <c r="V432" s="8"/>
      <c r="Y432" s="8"/>
      <c r="Z432" s="8"/>
    </row>
    <row r="433" ht="15.75" customHeight="1">
      <c r="Q433" s="8"/>
      <c r="R433" s="8"/>
      <c r="S433" s="8"/>
      <c r="T433" s="8"/>
      <c r="U433" s="8"/>
      <c r="V433" s="8"/>
      <c r="Y433" s="8"/>
      <c r="Z433" s="8"/>
    </row>
    <row r="434" ht="15.75" customHeight="1">
      <c r="Q434" s="8"/>
      <c r="R434" s="8"/>
      <c r="S434" s="8"/>
      <c r="T434" s="8"/>
      <c r="U434" s="8"/>
      <c r="V434" s="8"/>
      <c r="Y434" s="8"/>
      <c r="Z434" s="8"/>
    </row>
    <row r="435" ht="15.75" customHeight="1">
      <c r="Q435" s="8"/>
      <c r="R435" s="8"/>
      <c r="S435" s="8"/>
      <c r="T435" s="8"/>
      <c r="U435" s="8"/>
      <c r="V435" s="8"/>
      <c r="Y435" s="8"/>
      <c r="Z435" s="8"/>
    </row>
    <row r="436" ht="15.75" customHeight="1">
      <c r="Q436" s="8"/>
      <c r="R436" s="8"/>
      <c r="S436" s="8"/>
      <c r="T436" s="8"/>
      <c r="U436" s="8"/>
      <c r="V436" s="8"/>
      <c r="Y436" s="8"/>
      <c r="Z436" s="8"/>
    </row>
    <row r="437" ht="15.75" customHeight="1">
      <c r="Q437" s="8"/>
      <c r="R437" s="8"/>
      <c r="S437" s="8"/>
      <c r="T437" s="8"/>
      <c r="U437" s="8"/>
      <c r="V437" s="8"/>
      <c r="Y437" s="8"/>
      <c r="Z437" s="8"/>
    </row>
    <row r="438" ht="15.75" customHeight="1">
      <c r="Q438" s="8"/>
      <c r="R438" s="8"/>
      <c r="S438" s="8"/>
      <c r="T438" s="8"/>
      <c r="U438" s="8"/>
      <c r="V438" s="8"/>
      <c r="Y438" s="8"/>
      <c r="Z438" s="8"/>
    </row>
    <row r="439" ht="15.75" customHeight="1">
      <c r="Q439" s="8"/>
      <c r="R439" s="8"/>
      <c r="S439" s="8"/>
      <c r="T439" s="8"/>
      <c r="U439" s="8"/>
      <c r="V439" s="8"/>
      <c r="Y439" s="8"/>
      <c r="Z439" s="8"/>
    </row>
    <row r="440" ht="15.75" customHeight="1">
      <c r="Q440" s="8"/>
      <c r="R440" s="8"/>
      <c r="S440" s="8"/>
      <c r="T440" s="8"/>
      <c r="U440" s="8"/>
      <c r="V440" s="8"/>
      <c r="Y440" s="8"/>
      <c r="Z440" s="8"/>
    </row>
    <row r="441" ht="15.75" customHeight="1">
      <c r="Q441" s="8"/>
      <c r="R441" s="8"/>
      <c r="S441" s="8"/>
      <c r="T441" s="8"/>
      <c r="U441" s="8"/>
      <c r="V441" s="8"/>
      <c r="Y441" s="8"/>
      <c r="Z441" s="8"/>
    </row>
    <row r="442" ht="15.75" customHeight="1">
      <c r="Q442" s="8"/>
      <c r="R442" s="8"/>
      <c r="S442" s="8"/>
      <c r="T442" s="8"/>
      <c r="U442" s="8"/>
      <c r="V442" s="8"/>
      <c r="Y442" s="8"/>
      <c r="Z442" s="8"/>
    </row>
    <row r="443" ht="15.75" customHeight="1">
      <c r="Q443" s="8"/>
      <c r="R443" s="8"/>
      <c r="S443" s="8"/>
      <c r="T443" s="8"/>
      <c r="U443" s="8"/>
      <c r="V443" s="8"/>
      <c r="Y443" s="8"/>
      <c r="Z443" s="8"/>
    </row>
    <row r="444" ht="15.75" customHeight="1">
      <c r="Q444" s="8"/>
      <c r="R444" s="8"/>
      <c r="S444" s="8"/>
      <c r="T444" s="8"/>
      <c r="U444" s="8"/>
      <c r="V444" s="8"/>
      <c r="Y444" s="8"/>
      <c r="Z444" s="8"/>
    </row>
    <row r="445" ht="15.75" customHeight="1">
      <c r="Q445" s="8"/>
      <c r="R445" s="8"/>
      <c r="S445" s="8"/>
      <c r="T445" s="8"/>
      <c r="U445" s="8"/>
      <c r="V445" s="8"/>
      <c r="Y445" s="8"/>
      <c r="Z445" s="8"/>
    </row>
    <row r="446" ht="15.75" customHeight="1">
      <c r="Q446" s="8"/>
      <c r="R446" s="8"/>
      <c r="S446" s="8"/>
      <c r="T446" s="8"/>
      <c r="U446" s="8"/>
      <c r="V446" s="8"/>
      <c r="Y446" s="8"/>
      <c r="Z446" s="8"/>
    </row>
    <row r="447" ht="15.75" customHeight="1">
      <c r="Q447" s="8"/>
      <c r="R447" s="8"/>
      <c r="S447" s="8"/>
      <c r="T447" s="8"/>
      <c r="U447" s="8"/>
      <c r="V447" s="8"/>
      <c r="Y447" s="8"/>
      <c r="Z447" s="8"/>
    </row>
    <row r="448" ht="15.75" customHeight="1">
      <c r="Q448" s="8"/>
      <c r="R448" s="8"/>
      <c r="S448" s="8"/>
      <c r="T448" s="8"/>
      <c r="U448" s="8"/>
      <c r="V448" s="8"/>
      <c r="Y448" s="8"/>
      <c r="Z448" s="8"/>
    </row>
    <row r="449" ht="15.75" customHeight="1">
      <c r="Q449" s="8"/>
      <c r="R449" s="8"/>
      <c r="S449" s="8"/>
      <c r="T449" s="8"/>
      <c r="U449" s="8"/>
      <c r="V449" s="8"/>
      <c r="Y449" s="8"/>
      <c r="Z449" s="8"/>
    </row>
    <row r="450" ht="15.75" customHeight="1">
      <c r="Q450" s="8"/>
      <c r="R450" s="8"/>
      <c r="S450" s="8"/>
      <c r="T450" s="8"/>
      <c r="U450" s="8"/>
      <c r="V450" s="8"/>
      <c r="Y450" s="8"/>
      <c r="Z450" s="8"/>
    </row>
    <row r="451" ht="15.75" customHeight="1">
      <c r="Q451" s="8"/>
      <c r="R451" s="8"/>
      <c r="S451" s="8"/>
      <c r="T451" s="8"/>
      <c r="U451" s="8"/>
      <c r="V451" s="8"/>
      <c r="Y451" s="8"/>
      <c r="Z451" s="8"/>
    </row>
    <row r="452" ht="15.75" customHeight="1">
      <c r="Q452" s="8"/>
      <c r="R452" s="8"/>
      <c r="S452" s="8"/>
      <c r="T452" s="8"/>
      <c r="U452" s="8"/>
      <c r="V452" s="8"/>
      <c r="Y452" s="8"/>
      <c r="Z452" s="8"/>
    </row>
    <row r="453" ht="15.75" customHeight="1">
      <c r="Q453" s="8"/>
      <c r="R453" s="8"/>
      <c r="S453" s="8"/>
      <c r="T453" s="8"/>
      <c r="U453" s="8"/>
      <c r="V453" s="8"/>
      <c r="Y453" s="8"/>
      <c r="Z453" s="8"/>
    </row>
    <row r="454" ht="15.75" customHeight="1">
      <c r="Q454" s="8"/>
      <c r="R454" s="8"/>
      <c r="S454" s="8"/>
      <c r="T454" s="8"/>
      <c r="U454" s="8"/>
      <c r="V454" s="8"/>
      <c r="Y454" s="8"/>
      <c r="Z454" s="8"/>
    </row>
    <row r="455" ht="15.75" customHeight="1">
      <c r="Q455" s="8"/>
      <c r="R455" s="8"/>
      <c r="S455" s="8"/>
      <c r="T455" s="8"/>
      <c r="U455" s="8"/>
      <c r="V455" s="8"/>
      <c r="Y455" s="8"/>
      <c r="Z455" s="8"/>
    </row>
    <row r="456" ht="15.75" customHeight="1">
      <c r="Q456" s="8"/>
      <c r="R456" s="8"/>
      <c r="S456" s="8"/>
      <c r="T456" s="8"/>
      <c r="U456" s="8"/>
      <c r="V456" s="8"/>
      <c r="Y456" s="8"/>
      <c r="Z456" s="8"/>
    </row>
    <row r="457" ht="15.75" customHeight="1">
      <c r="Q457" s="8"/>
      <c r="R457" s="8"/>
      <c r="S457" s="8"/>
      <c r="T457" s="8"/>
      <c r="U457" s="8"/>
      <c r="V457" s="8"/>
      <c r="Y457" s="8"/>
      <c r="Z457" s="8"/>
    </row>
    <row r="458" ht="15.75" customHeight="1">
      <c r="Q458" s="8"/>
      <c r="R458" s="8"/>
      <c r="S458" s="8"/>
      <c r="T458" s="8"/>
      <c r="U458" s="8"/>
      <c r="V458" s="8"/>
      <c r="Y458" s="8"/>
      <c r="Z458" s="8"/>
    </row>
    <row r="459" ht="15.75" customHeight="1">
      <c r="Q459" s="8"/>
      <c r="R459" s="8"/>
      <c r="S459" s="8"/>
      <c r="T459" s="8"/>
      <c r="U459" s="8"/>
      <c r="V459" s="8"/>
      <c r="Y459" s="8"/>
      <c r="Z459" s="8"/>
    </row>
    <row r="460" ht="15.75" customHeight="1">
      <c r="Q460" s="8"/>
      <c r="R460" s="8"/>
      <c r="S460" s="8"/>
      <c r="T460" s="8"/>
      <c r="U460" s="8"/>
      <c r="V460" s="8"/>
      <c r="Y460" s="8"/>
      <c r="Z460" s="8"/>
    </row>
    <row r="461" ht="15.75" customHeight="1">
      <c r="Q461" s="8"/>
      <c r="R461" s="8"/>
      <c r="S461" s="8"/>
      <c r="T461" s="8"/>
      <c r="U461" s="8"/>
      <c r="V461" s="8"/>
      <c r="Y461" s="8"/>
      <c r="Z461" s="8"/>
    </row>
    <row r="462" ht="15.75" customHeight="1">
      <c r="Q462" s="8"/>
      <c r="R462" s="8"/>
      <c r="S462" s="8"/>
      <c r="T462" s="8"/>
      <c r="U462" s="8"/>
      <c r="V462" s="8"/>
      <c r="Y462" s="8"/>
      <c r="Z462" s="8"/>
    </row>
    <row r="463" ht="15.75" customHeight="1">
      <c r="Q463" s="8"/>
      <c r="R463" s="8"/>
      <c r="S463" s="8"/>
      <c r="T463" s="8"/>
      <c r="U463" s="8"/>
      <c r="V463" s="8"/>
      <c r="Y463" s="8"/>
      <c r="Z463" s="8"/>
    </row>
    <row r="464" ht="15.75" customHeight="1">
      <c r="Q464" s="8"/>
      <c r="R464" s="8"/>
      <c r="S464" s="8"/>
      <c r="T464" s="8"/>
      <c r="U464" s="8"/>
      <c r="V464" s="8"/>
      <c r="Y464" s="8"/>
      <c r="Z464" s="8"/>
    </row>
    <row r="465" ht="15.75" customHeight="1">
      <c r="Q465" s="8"/>
      <c r="R465" s="8"/>
      <c r="S465" s="8"/>
      <c r="T465" s="8"/>
      <c r="U465" s="8"/>
      <c r="V465" s="8"/>
      <c r="Y465" s="8"/>
      <c r="Z465" s="8"/>
    </row>
    <row r="466" ht="15.75" customHeight="1">
      <c r="Q466" s="8"/>
      <c r="R466" s="8"/>
      <c r="S466" s="8"/>
      <c r="T466" s="8"/>
      <c r="U466" s="8"/>
      <c r="V466" s="8"/>
      <c r="Y466" s="8"/>
      <c r="Z466" s="8"/>
    </row>
    <row r="467" ht="15.75" customHeight="1">
      <c r="Q467" s="8"/>
      <c r="R467" s="8"/>
      <c r="S467" s="8"/>
      <c r="T467" s="8"/>
      <c r="U467" s="8"/>
      <c r="V467" s="8"/>
      <c r="Y467" s="8"/>
      <c r="Z467" s="8"/>
    </row>
    <row r="468" ht="15.75" customHeight="1">
      <c r="Q468" s="8"/>
      <c r="R468" s="8"/>
      <c r="S468" s="8"/>
      <c r="T468" s="8"/>
      <c r="U468" s="8"/>
      <c r="V468" s="8"/>
      <c r="Y468" s="8"/>
      <c r="Z468" s="8"/>
    </row>
    <row r="469" ht="15.75" customHeight="1">
      <c r="Q469" s="8"/>
      <c r="R469" s="8"/>
      <c r="S469" s="8"/>
      <c r="T469" s="8"/>
      <c r="U469" s="8"/>
      <c r="V469" s="8"/>
      <c r="Y469" s="8"/>
      <c r="Z469" s="8"/>
    </row>
    <row r="470" ht="15.75" customHeight="1">
      <c r="Q470" s="8"/>
      <c r="R470" s="8"/>
      <c r="S470" s="8"/>
      <c r="T470" s="8"/>
      <c r="U470" s="8"/>
      <c r="V470" s="8"/>
      <c r="Y470" s="8"/>
      <c r="Z470" s="8"/>
    </row>
    <row r="471" ht="15.75" customHeight="1">
      <c r="Q471" s="8"/>
      <c r="R471" s="8"/>
      <c r="S471" s="8"/>
      <c r="T471" s="8"/>
      <c r="U471" s="8"/>
      <c r="V471" s="8"/>
      <c r="Y471" s="8"/>
      <c r="Z471" s="8"/>
    </row>
    <row r="472" ht="15.75" customHeight="1">
      <c r="Q472" s="8"/>
      <c r="R472" s="8"/>
      <c r="S472" s="8"/>
      <c r="T472" s="8"/>
      <c r="U472" s="8"/>
      <c r="V472" s="8"/>
      <c r="Y472" s="8"/>
      <c r="Z472" s="8"/>
    </row>
    <row r="473" ht="15.75" customHeight="1">
      <c r="Q473" s="8"/>
      <c r="R473" s="8"/>
      <c r="S473" s="8"/>
      <c r="T473" s="8"/>
      <c r="U473" s="8"/>
      <c r="V473" s="8"/>
      <c r="Y473" s="8"/>
      <c r="Z473" s="8"/>
    </row>
    <row r="474" ht="15.75" customHeight="1">
      <c r="Q474" s="8"/>
      <c r="R474" s="8"/>
      <c r="S474" s="8"/>
      <c r="T474" s="8"/>
      <c r="U474" s="8"/>
      <c r="V474" s="8"/>
      <c r="Y474" s="8"/>
      <c r="Z474" s="8"/>
    </row>
    <row r="475" ht="15.75" customHeight="1">
      <c r="Q475" s="8"/>
      <c r="R475" s="8"/>
      <c r="S475" s="8"/>
      <c r="T475" s="8"/>
      <c r="U475" s="8"/>
      <c r="V475" s="8"/>
      <c r="Y475" s="8"/>
      <c r="Z475" s="8"/>
    </row>
    <row r="476" ht="15.75" customHeight="1">
      <c r="Q476" s="8"/>
      <c r="R476" s="8"/>
      <c r="S476" s="8"/>
      <c r="T476" s="8"/>
      <c r="U476" s="8"/>
      <c r="V476" s="8"/>
      <c r="Y476" s="8"/>
      <c r="Z476" s="8"/>
    </row>
    <row r="477" ht="15.75" customHeight="1">
      <c r="Q477" s="8"/>
      <c r="R477" s="8"/>
      <c r="S477" s="8"/>
      <c r="T477" s="8"/>
      <c r="U477" s="8"/>
      <c r="V477" s="8"/>
      <c r="Y477" s="8"/>
      <c r="Z477" s="8"/>
    </row>
    <row r="478" ht="15.75" customHeight="1">
      <c r="Q478" s="8"/>
      <c r="R478" s="8"/>
      <c r="S478" s="8"/>
      <c r="T478" s="8"/>
      <c r="U478" s="8"/>
      <c r="V478" s="8"/>
      <c r="Y478" s="8"/>
      <c r="Z478" s="8"/>
    </row>
    <row r="479" ht="15.75" customHeight="1">
      <c r="Q479" s="8"/>
      <c r="R479" s="8"/>
      <c r="S479" s="8"/>
      <c r="T479" s="8"/>
      <c r="U479" s="8"/>
      <c r="V479" s="8"/>
      <c r="Y479" s="8"/>
      <c r="Z479" s="8"/>
    </row>
    <row r="480" ht="15.75" customHeight="1">
      <c r="Q480" s="8"/>
      <c r="R480" s="8"/>
      <c r="S480" s="8"/>
      <c r="T480" s="8"/>
      <c r="U480" s="8"/>
      <c r="V480" s="8"/>
      <c r="Y480" s="8"/>
      <c r="Z480" s="8"/>
    </row>
    <row r="481" ht="15.75" customHeight="1">
      <c r="Q481" s="8"/>
      <c r="R481" s="8"/>
      <c r="S481" s="8"/>
      <c r="T481" s="8"/>
      <c r="U481" s="8"/>
      <c r="V481" s="8"/>
      <c r="Y481" s="8"/>
      <c r="Z481" s="8"/>
    </row>
    <row r="482" ht="15.75" customHeight="1">
      <c r="Q482" s="8"/>
      <c r="R482" s="8"/>
      <c r="S482" s="8"/>
      <c r="T482" s="8"/>
      <c r="U482" s="8"/>
      <c r="V482" s="8"/>
      <c r="Y482" s="8"/>
      <c r="Z482" s="8"/>
    </row>
    <row r="483" ht="15.75" customHeight="1">
      <c r="Q483" s="8"/>
      <c r="R483" s="8"/>
      <c r="S483" s="8"/>
      <c r="T483" s="8"/>
      <c r="U483" s="8"/>
      <c r="V483" s="8"/>
      <c r="Y483" s="8"/>
      <c r="Z483" s="8"/>
    </row>
    <row r="484" ht="15.75" customHeight="1">
      <c r="Q484" s="8"/>
      <c r="R484" s="8"/>
      <c r="S484" s="8"/>
      <c r="T484" s="8"/>
      <c r="U484" s="8"/>
      <c r="V484" s="8"/>
      <c r="Y484" s="8"/>
      <c r="Z484" s="8"/>
    </row>
    <row r="485" ht="15.75" customHeight="1">
      <c r="Q485" s="8"/>
      <c r="R485" s="8"/>
      <c r="S485" s="8"/>
      <c r="T485" s="8"/>
      <c r="U485" s="8"/>
      <c r="V485" s="8"/>
      <c r="Y485" s="8"/>
      <c r="Z485" s="8"/>
    </row>
    <row r="486" ht="15.75" customHeight="1">
      <c r="Q486" s="8"/>
      <c r="R486" s="8"/>
      <c r="S486" s="8"/>
      <c r="T486" s="8"/>
      <c r="U486" s="8"/>
      <c r="V486" s="8"/>
      <c r="Y486" s="8"/>
      <c r="Z486" s="8"/>
    </row>
    <row r="487" ht="15.75" customHeight="1">
      <c r="Q487" s="8"/>
      <c r="R487" s="8"/>
      <c r="S487" s="8"/>
      <c r="T487" s="8"/>
      <c r="U487" s="8"/>
      <c r="V487" s="8"/>
      <c r="Y487" s="8"/>
      <c r="Z487" s="8"/>
    </row>
    <row r="488" ht="15.75" customHeight="1">
      <c r="Q488" s="8"/>
      <c r="R488" s="8"/>
      <c r="S488" s="8"/>
      <c r="T488" s="8"/>
      <c r="U488" s="8"/>
      <c r="V488" s="8"/>
      <c r="Y488" s="8"/>
      <c r="Z488" s="8"/>
    </row>
    <row r="489" ht="15.75" customHeight="1">
      <c r="Q489" s="8"/>
      <c r="R489" s="8"/>
      <c r="S489" s="8"/>
      <c r="T489" s="8"/>
      <c r="U489" s="8"/>
      <c r="V489" s="8"/>
      <c r="Y489" s="8"/>
      <c r="Z489" s="8"/>
    </row>
    <row r="490" ht="15.75" customHeight="1">
      <c r="Q490" s="8"/>
      <c r="R490" s="8"/>
      <c r="S490" s="8"/>
      <c r="T490" s="8"/>
      <c r="U490" s="8"/>
      <c r="V490" s="8"/>
      <c r="Y490" s="8"/>
      <c r="Z490" s="8"/>
    </row>
    <row r="491" ht="15.75" customHeight="1">
      <c r="Q491" s="8"/>
      <c r="R491" s="8"/>
      <c r="S491" s="8"/>
      <c r="T491" s="8"/>
      <c r="U491" s="8"/>
      <c r="V491" s="8"/>
      <c r="Y491" s="8"/>
      <c r="Z491" s="8"/>
    </row>
    <row r="492" ht="15.75" customHeight="1">
      <c r="Q492" s="8"/>
      <c r="R492" s="8"/>
      <c r="S492" s="8"/>
      <c r="T492" s="8"/>
      <c r="U492" s="8"/>
      <c r="V492" s="8"/>
      <c r="Y492" s="8"/>
      <c r="Z492" s="8"/>
    </row>
    <row r="493" ht="15.75" customHeight="1">
      <c r="Q493" s="8"/>
      <c r="R493" s="8"/>
      <c r="S493" s="8"/>
      <c r="T493" s="8"/>
      <c r="U493" s="8"/>
      <c r="V493" s="8"/>
      <c r="Y493" s="8"/>
      <c r="Z493" s="8"/>
    </row>
    <row r="494" ht="15.75" customHeight="1">
      <c r="Q494" s="8"/>
      <c r="R494" s="8"/>
      <c r="S494" s="8"/>
      <c r="T494" s="8"/>
      <c r="U494" s="8"/>
      <c r="V494" s="8"/>
      <c r="Y494" s="8"/>
      <c r="Z494" s="8"/>
    </row>
    <row r="495" ht="15.75" customHeight="1">
      <c r="Q495" s="8"/>
      <c r="R495" s="8"/>
      <c r="S495" s="8"/>
      <c r="T495" s="8"/>
      <c r="U495" s="8"/>
      <c r="V495" s="8"/>
      <c r="Y495" s="8"/>
      <c r="Z495" s="8"/>
    </row>
    <row r="496" ht="15.75" customHeight="1">
      <c r="Q496" s="8"/>
      <c r="R496" s="8"/>
      <c r="S496" s="8"/>
      <c r="T496" s="8"/>
      <c r="U496" s="8"/>
      <c r="V496" s="8"/>
      <c r="Y496" s="8"/>
      <c r="Z496" s="8"/>
    </row>
    <row r="497" ht="15.75" customHeight="1">
      <c r="Q497" s="8"/>
      <c r="R497" s="8"/>
      <c r="S497" s="8"/>
      <c r="T497" s="8"/>
      <c r="U497" s="8"/>
      <c r="V497" s="8"/>
      <c r="Y497" s="8"/>
      <c r="Z497" s="8"/>
    </row>
    <row r="498" ht="15.75" customHeight="1">
      <c r="Q498" s="8"/>
      <c r="R498" s="8"/>
      <c r="S498" s="8"/>
      <c r="T498" s="8"/>
      <c r="U498" s="8"/>
      <c r="V498" s="8"/>
      <c r="Y498" s="8"/>
      <c r="Z498" s="8"/>
    </row>
    <row r="499" ht="15.75" customHeight="1">
      <c r="Q499" s="8"/>
      <c r="R499" s="8"/>
      <c r="S499" s="8"/>
      <c r="T499" s="8"/>
      <c r="U499" s="8"/>
      <c r="V499" s="8"/>
      <c r="Y499" s="8"/>
      <c r="Z499" s="8"/>
    </row>
    <row r="500" ht="15.75" customHeight="1">
      <c r="Q500" s="8"/>
      <c r="R500" s="8"/>
      <c r="S500" s="8"/>
      <c r="T500" s="8"/>
      <c r="U500" s="8"/>
      <c r="V500" s="8"/>
      <c r="Y500" s="8"/>
      <c r="Z500" s="8"/>
    </row>
    <row r="501" ht="15.75" customHeight="1">
      <c r="Q501" s="8"/>
      <c r="R501" s="8"/>
      <c r="S501" s="8"/>
      <c r="T501" s="8"/>
      <c r="U501" s="8"/>
      <c r="V501" s="8"/>
      <c r="Y501" s="8"/>
      <c r="Z501" s="8"/>
    </row>
    <row r="502" ht="15.75" customHeight="1">
      <c r="Q502" s="8"/>
      <c r="R502" s="8"/>
      <c r="S502" s="8"/>
      <c r="T502" s="8"/>
      <c r="U502" s="8"/>
      <c r="V502" s="8"/>
      <c r="Y502" s="8"/>
      <c r="Z502" s="8"/>
    </row>
    <row r="503" ht="15.75" customHeight="1">
      <c r="Q503" s="8"/>
      <c r="R503" s="8"/>
      <c r="S503" s="8"/>
      <c r="T503" s="8"/>
      <c r="U503" s="8"/>
      <c r="V503" s="8"/>
      <c r="Y503" s="8"/>
      <c r="Z503" s="8"/>
    </row>
    <row r="504" ht="15.75" customHeight="1">
      <c r="Q504" s="8"/>
      <c r="R504" s="8"/>
      <c r="S504" s="8"/>
      <c r="T504" s="8"/>
      <c r="U504" s="8"/>
      <c r="V504" s="8"/>
      <c r="Y504" s="8"/>
      <c r="Z504" s="8"/>
    </row>
    <row r="505" ht="15.75" customHeight="1">
      <c r="Q505" s="8"/>
      <c r="R505" s="8"/>
      <c r="S505" s="8"/>
      <c r="T505" s="8"/>
      <c r="U505" s="8"/>
      <c r="V505" s="8"/>
      <c r="Y505" s="8"/>
      <c r="Z505" s="8"/>
    </row>
    <row r="506" ht="15.75" customHeight="1">
      <c r="Q506" s="8"/>
      <c r="R506" s="8"/>
      <c r="S506" s="8"/>
      <c r="T506" s="8"/>
      <c r="U506" s="8"/>
      <c r="V506" s="8"/>
      <c r="Y506" s="8"/>
      <c r="Z506" s="8"/>
    </row>
    <row r="507" ht="15.75" customHeight="1">
      <c r="Q507" s="8"/>
      <c r="R507" s="8"/>
      <c r="S507" s="8"/>
      <c r="T507" s="8"/>
      <c r="U507" s="8"/>
      <c r="V507" s="8"/>
      <c r="Y507" s="8"/>
      <c r="Z507" s="8"/>
    </row>
    <row r="508" ht="15.75" customHeight="1">
      <c r="Q508" s="8"/>
      <c r="R508" s="8"/>
      <c r="S508" s="8"/>
      <c r="T508" s="8"/>
      <c r="U508" s="8"/>
      <c r="V508" s="8"/>
      <c r="Y508" s="8"/>
      <c r="Z508" s="8"/>
    </row>
    <row r="509" ht="15.75" customHeight="1">
      <c r="Q509" s="8"/>
      <c r="R509" s="8"/>
      <c r="S509" s="8"/>
      <c r="T509" s="8"/>
      <c r="U509" s="8"/>
      <c r="V509" s="8"/>
      <c r="Y509" s="8"/>
      <c r="Z509" s="8"/>
    </row>
    <row r="510" ht="15.75" customHeight="1">
      <c r="Q510" s="8"/>
      <c r="R510" s="8"/>
      <c r="S510" s="8"/>
      <c r="T510" s="8"/>
      <c r="U510" s="8"/>
      <c r="V510" s="8"/>
      <c r="Y510" s="8"/>
      <c r="Z510" s="8"/>
    </row>
    <row r="511" ht="15.75" customHeight="1">
      <c r="Q511" s="8"/>
      <c r="R511" s="8"/>
      <c r="S511" s="8"/>
      <c r="T511" s="8"/>
      <c r="U511" s="8"/>
      <c r="V511" s="8"/>
      <c r="Y511" s="8"/>
      <c r="Z511" s="8"/>
    </row>
    <row r="512" ht="15.75" customHeight="1">
      <c r="Q512" s="8"/>
      <c r="R512" s="8"/>
      <c r="S512" s="8"/>
      <c r="T512" s="8"/>
      <c r="U512" s="8"/>
      <c r="V512" s="8"/>
      <c r="Y512" s="8"/>
      <c r="Z512" s="8"/>
    </row>
    <row r="513" ht="15.75" customHeight="1">
      <c r="Q513" s="8"/>
      <c r="R513" s="8"/>
      <c r="S513" s="8"/>
      <c r="T513" s="8"/>
      <c r="U513" s="8"/>
      <c r="V513" s="8"/>
      <c r="Y513" s="8"/>
      <c r="Z513" s="8"/>
    </row>
    <row r="514" ht="15.75" customHeight="1">
      <c r="Q514" s="8"/>
      <c r="R514" s="8"/>
      <c r="S514" s="8"/>
      <c r="T514" s="8"/>
      <c r="U514" s="8"/>
      <c r="V514" s="8"/>
      <c r="Y514" s="8"/>
      <c r="Z514" s="8"/>
    </row>
    <row r="515" ht="15.75" customHeight="1">
      <c r="Q515" s="8"/>
      <c r="R515" s="8"/>
      <c r="S515" s="8"/>
      <c r="T515" s="8"/>
      <c r="U515" s="8"/>
      <c r="V515" s="8"/>
      <c r="Y515" s="8"/>
      <c r="Z515" s="8"/>
    </row>
    <row r="516" ht="15.75" customHeight="1">
      <c r="Q516" s="8"/>
      <c r="R516" s="8"/>
      <c r="S516" s="8"/>
      <c r="T516" s="8"/>
      <c r="U516" s="8"/>
      <c r="V516" s="8"/>
      <c r="Y516" s="8"/>
      <c r="Z516" s="8"/>
    </row>
    <row r="517" ht="15.75" customHeight="1">
      <c r="Q517" s="8"/>
      <c r="R517" s="8"/>
      <c r="S517" s="8"/>
      <c r="T517" s="8"/>
      <c r="U517" s="8"/>
      <c r="V517" s="8"/>
      <c r="Y517" s="8"/>
      <c r="Z517" s="8"/>
    </row>
    <row r="518" ht="15.75" customHeight="1">
      <c r="Q518" s="8"/>
      <c r="R518" s="8"/>
      <c r="S518" s="8"/>
      <c r="T518" s="8"/>
      <c r="U518" s="8"/>
      <c r="V518" s="8"/>
      <c r="Y518" s="8"/>
      <c r="Z518" s="8"/>
    </row>
    <row r="519" ht="15.75" customHeight="1">
      <c r="Q519" s="8"/>
      <c r="R519" s="8"/>
      <c r="S519" s="8"/>
      <c r="T519" s="8"/>
      <c r="U519" s="8"/>
      <c r="V519" s="8"/>
      <c r="Y519" s="8"/>
      <c r="Z519" s="8"/>
    </row>
    <row r="520" ht="15.75" customHeight="1">
      <c r="Q520" s="8"/>
      <c r="R520" s="8"/>
      <c r="S520" s="8"/>
      <c r="T520" s="8"/>
      <c r="U520" s="8"/>
      <c r="V520" s="8"/>
      <c r="Y520" s="8"/>
      <c r="Z520" s="8"/>
    </row>
    <row r="521" ht="15.75" customHeight="1">
      <c r="Q521" s="8"/>
      <c r="R521" s="8"/>
      <c r="S521" s="8"/>
      <c r="T521" s="8"/>
      <c r="U521" s="8"/>
      <c r="V521" s="8"/>
      <c r="Y521" s="8"/>
      <c r="Z521" s="8"/>
    </row>
    <row r="522" ht="15.75" customHeight="1">
      <c r="Q522" s="8"/>
      <c r="R522" s="8"/>
      <c r="S522" s="8"/>
      <c r="T522" s="8"/>
      <c r="U522" s="8"/>
      <c r="V522" s="8"/>
      <c r="Y522" s="8"/>
      <c r="Z522" s="8"/>
    </row>
    <row r="523" ht="15.75" customHeight="1">
      <c r="Q523" s="8"/>
      <c r="R523" s="8"/>
      <c r="S523" s="8"/>
      <c r="T523" s="8"/>
      <c r="U523" s="8"/>
      <c r="V523" s="8"/>
      <c r="Y523" s="8"/>
      <c r="Z523" s="8"/>
    </row>
    <row r="524" ht="15.75" customHeight="1">
      <c r="Q524" s="8"/>
      <c r="R524" s="8"/>
      <c r="S524" s="8"/>
      <c r="T524" s="8"/>
      <c r="U524" s="8"/>
      <c r="V524" s="8"/>
      <c r="Y524" s="8"/>
      <c r="Z524" s="8"/>
    </row>
    <row r="525" ht="15.75" customHeight="1">
      <c r="Q525" s="8"/>
      <c r="R525" s="8"/>
      <c r="S525" s="8"/>
      <c r="T525" s="8"/>
      <c r="U525" s="8"/>
      <c r="V525" s="8"/>
      <c r="Y525" s="8"/>
      <c r="Z525" s="8"/>
    </row>
    <row r="526" ht="15.75" customHeight="1">
      <c r="Q526" s="8"/>
      <c r="R526" s="8"/>
      <c r="S526" s="8"/>
      <c r="T526" s="8"/>
      <c r="U526" s="8"/>
      <c r="V526" s="8"/>
      <c r="Y526" s="8"/>
      <c r="Z526" s="8"/>
    </row>
    <row r="527" ht="15.75" customHeight="1">
      <c r="Q527" s="8"/>
      <c r="R527" s="8"/>
      <c r="S527" s="8"/>
      <c r="T527" s="8"/>
      <c r="U527" s="8"/>
      <c r="V527" s="8"/>
      <c r="Y527" s="8"/>
      <c r="Z527" s="8"/>
    </row>
    <row r="528" ht="15.75" customHeight="1">
      <c r="Q528" s="8"/>
      <c r="R528" s="8"/>
      <c r="S528" s="8"/>
      <c r="T528" s="8"/>
      <c r="U528" s="8"/>
      <c r="V528" s="8"/>
      <c r="Y528" s="8"/>
      <c r="Z528" s="8"/>
    </row>
    <row r="529" ht="15.75" customHeight="1">
      <c r="Q529" s="8"/>
      <c r="R529" s="8"/>
      <c r="S529" s="8"/>
      <c r="T529" s="8"/>
      <c r="U529" s="8"/>
      <c r="V529" s="8"/>
      <c r="Y529" s="8"/>
      <c r="Z529" s="8"/>
    </row>
    <row r="530" ht="15.75" customHeight="1">
      <c r="Q530" s="8"/>
      <c r="R530" s="8"/>
      <c r="S530" s="8"/>
      <c r="T530" s="8"/>
      <c r="U530" s="8"/>
      <c r="V530" s="8"/>
      <c r="Y530" s="8"/>
      <c r="Z530" s="8"/>
    </row>
    <row r="531" ht="15.75" customHeight="1">
      <c r="Q531" s="8"/>
      <c r="R531" s="8"/>
      <c r="S531" s="8"/>
      <c r="T531" s="8"/>
      <c r="U531" s="8"/>
      <c r="V531" s="8"/>
      <c r="Y531" s="8"/>
      <c r="Z531" s="8"/>
    </row>
    <row r="532" ht="15.75" customHeight="1">
      <c r="Q532" s="8"/>
      <c r="R532" s="8"/>
      <c r="S532" s="8"/>
      <c r="T532" s="8"/>
      <c r="U532" s="8"/>
      <c r="V532" s="8"/>
      <c r="Y532" s="8"/>
      <c r="Z532" s="8"/>
    </row>
    <row r="533" ht="15.75" customHeight="1">
      <c r="Q533" s="8"/>
      <c r="R533" s="8"/>
      <c r="S533" s="8"/>
      <c r="T533" s="8"/>
      <c r="U533" s="8"/>
      <c r="V533" s="8"/>
      <c r="Y533" s="8"/>
      <c r="Z533" s="8"/>
    </row>
    <row r="534" ht="15.75" customHeight="1">
      <c r="Q534" s="8"/>
      <c r="R534" s="8"/>
      <c r="S534" s="8"/>
      <c r="T534" s="8"/>
      <c r="U534" s="8"/>
      <c r="V534" s="8"/>
      <c r="Y534" s="8"/>
      <c r="Z534" s="8"/>
    </row>
    <row r="535" ht="15.75" customHeight="1">
      <c r="Q535" s="8"/>
      <c r="R535" s="8"/>
      <c r="S535" s="8"/>
      <c r="T535" s="8"/>
      <c r="U535" s="8"/>
      <c r="V535" s="8"/>
      <c r="Y535" s="8"/>
      <c r="Z535" s="8"/>
    </row>
    <row r="536" ht="15.75" customHeight="1">
      <c r="Q536" s="8"/>
      <c r="R536" s="8"/>
      <c r="S536" s="8"/>
      <c r="T536" s="8"/>
      <c r="U536" s="8"/>
      <c r="V536" s="8"/>
      <c r="Y536" s="8"/>
      <c r="Z536" s="8"/>
    </row>
    <row r="537" ht="15.75" customHeight="1">
      <c r="Q537" s="8"/>
      <c r="R537" s="8"/>
      <c r="S537" s="8"/>
      <c r="T537" s="8"/>
      <c r="U537" s="8"/>
      <c r="V537" s="8"/>
      <c r="Y537" s="8"/>
      <c r="Z537" s="8"/>
    </row>
    <row r="538" ht="15.75" customHeight="1">
      <c r="Q538" s="8"/>
      <c r="R538" s="8"/>
      <c r="S538" s="8"/>
      <c r="T538" s="8"/>
      <c r="U538" s="8"/>
      <c r="V538" s="8"/>
      <c r="Y538" s="8"/>
      <c r="Z538" s="8"/>
    </row>
    <row r="539" ht="15.75" customHeight="1">
      <c r="Q539" s="8"/>
      <c r="R539" s="8"/>
      <c r="S539" s="8"/>
      <c r="T539" s="8"/>
      <c r="U539" s="8"/>
      <c r="V539" s="8"/>
      <c r="Y539" s="8"/>
      <c r="Z539" s="8"/>
    </row>
    <row r="540" ht="15.75" customHeight="1">
      <c r="Q540" s="8"/>
      <c r="R540" s="8"/>
      <c r="S540" s="8"/>
      <c r="T540" s="8"/>
      <c r="U540" s="8"/>
      <c r="V540" s="8"/>
      <c r="Y540" s="8"/>
      <c r="Z540" s="8"/>
    </row>
    <row r="541" ht="15.75" customHeight="1">
      <c r="Q541" s="8"/>
      <c r="R541" s="8"/>
      <c r="S541" s="8"/>
      <c r="T541" s="8"/>
      <c r="U541" s="8"/>
      <c r="V541" s="8"/>
      <c r="Y541" s="8"/>
      <c r="Z541" s="8"/>
    </row>
    <row r="542" ht="15.75" customHeight="1">
      <c r="Q542" s="8"/>
      <c r="R542" s="8"/>
      <c r="S542" s="8"/>
      <c r="T542" s="8"/>
      <c r="U542" s="8"/>
      <c r="V542" s="8"/>
      <c r="Y542" s="8"/>
      <c r="Z542" s="8"/>
    </row>
    <row r="543" ht="15.75" customHeight="1">
      <c r="Q543" s="8"/>
      <c r="R543" s="8"/>
      <c r="S543" s="8"/>
      <c r="T543" s="8"/>
      <c r="U543" s="8"/>
      <c r="V543" s="8"/>
      <c r="Y543" s="8"/>
      <c r="Z543" s="8"/>
    </row>
    <row r="544" ht="15.75" customHeight="1">
      <c r="Q544" s="8"/>
      <c r="R544" s="8"/>
      <c r="S544" s="8"/>
      <c r="T544" s="8"/>
      <c r="U544" s="8"/>
      <c r="V544" s="8"/>
      <c r="Y544" s="8"/>
      <c r="Z544" s="8"/>
    </row>
    <row r="545" ht="15.75" customHeight="1">
      <c r="Q545" s="8"/>
      <c r="R545" s="8"/>
      <c r="S545" s="8"/>
      <c r="T545" s="8"/>
      <c r="U545" s="8"/>
      <c r="V545" s="8"/>
      <c r="Y545" s="8"/>
      <c r="Z545" s="8"/>
    </row>
    <row r="546" ht="15.75" customHeight="1">
      <c r="Q546" s="8"/>
      <c r="R546" s="8"/>
      <c r="S546" s="8"/>
      <c r="T546" s="8"/>
      <c r="U546" s="8"/>
      <c r="V546" s="8"/>
      <c r="Y546" s="8"/>
      <c r="Z546" s="8"/>
    </row>
    <row r="547" ht="15.75" customHeight="1">
      <c r="Q547" s="8"/>
      <c r="R547" s="8"/>
      <c r="S547" s="8"/>
      <c r="T547" s="8"/>
      <c r="U547" s="8"/>
      <c r="V547" s="8"/>
      <c r="Y547" s="8"/>
      <c r="Z547" s="8"/>
    </row>
    <row r="548" ht="15.75" customHeight="1">
      <c r="Q548" s="8"/>
      <c r="R548" s="8"/>
      <c r="S548" s="8"/>
      <c r="T548" s="8"/>
      <c r="U548" s="8"/>
      <c r="V548" s="8"/>
      <c r="Y548" s="8"/>
      <c r="Z548" s="8"/>
    </row>
    <row r="549" ht="15.75" customHeight="1">
      <c r="Q549" s="8"/>
      <c r="R549" s="8"/>
      <c r="S549" s="8"/>
      <c r="T549" s="8"/>
      <c r="U549" s="8"/>
      <c r="V549" s="8"/>
      <c r="Y549" s="8"/>
      <c r="Z549" s="8"/>
    </row>
    <row r="550" ht="15.75" customHeight="1">
      <c r="Q550" s="8"/>
      <c r="R550" s="8"/>
      <c r="S550" s="8"/>
      <c r="T550" s="8"/>
      <c r="U550" s="8"/>
      <c r="V550" s="8"/>
      <c r="Y550" s="8"/>
      <c r="Z550" s="8"/>
    </row>
    <row r="551" ht="15.75" customHeight="1">
      <c r="Q551" s="8"/>
      <c r="R551" s="8"/>
      <c r="S551" s="8"/>
      <c r="T551" s="8"/>
      <c r="U551" s="8"/>
      <c r="V551" s="8"/>
      <c r="Y551" s="8"/>
      <c r="Z551" s="8"/>
    </row>
    <row r="552" ht="15.75" customHeight="1">
      <c r="Q552" s="8"/>
      <c r="R552" s="8"/>
      <c r="S552" s="8"/>
      <c r="T552" s="8"/>
      <c r="U552" s="8"/>
      <c r="V552" s="8"/>
      <c r="Y552" s="8"/>
      <c r="Z552" s="8"/>
    </row>
    <row r="553" ht="15.75" customHeight="1">
      <c r="Q553" s="8"/>
      <c r="R553" s="8"/>
      <c r="S553" s="8"/>
      <c r="T553" s="8"/>
      <c r="U553" s="8"/>
      <c r="V553" s="8"/>
      <c r="Y553" s="8"/>
      <c r="Z553" s="8"/>
    </row>
    <row r="554" ht="15.75" customHeight="1">
      <c r="Q554" s="8"/>
      <c r="R554" s="8"/>
      <c r="S554" s="8"/>
      <c r="T554" s="8"/>
      <c r="U554" s="8"/>
      <c r="V554" s="8"/>
      <c r="Y554" s="8"/>
      <c r="Z554" s="8"/>
    </row>
    <row r="555" ht="15.75" customHeight="1">
      <c r="Q555" s="8"/>
      <c r="R555" s="8"/>
      <c r="S555" s="8"/>
      <c r="T555" s="8"/>
      <c r="U555" s="8"/>
      <c r="V555" s="8"/>
      <c r="Y555" s="8"/>
      <c r="Z555" s="8"/>
    </row>
    <row r="556" ht="15.75" customHeight="1">
      <c r="Q556" s="8"/>
      <c r="R556" s="8"/>
      <c r="S556" s="8"/>
      <c r="T556" s="8"/>
      <c r="U556" s="8"/>
      <c r="V556" s="8"/>
      <c r="Y556" s="8"/>
      <c r="Z556" s="8"/>
    </row>
    <row r="557" ht="15.75" customHeight="1">
      <c r="Q557" s="8"/>
      <c r="R557" s="8"/>
      <c r="S557" s="8"/>
      <c r="T557" s="8"/>
      <c r="U557" s="8"/>
      <c r="V557" s="8"/>
      <c r="Y557" s="8"/>
      <c r="Z557" s="8"/>
    </row>
    <row r="558" ht="15.75" customHeight="1">
      <c r="Q558" s="8"/>
      <c r="R558" s="8"/>
      <c r="S558" s="8"/>
      <c r="T558" s="8"/>
      <c r="U558" s="8"/>
      <c r="V558" s="8"/>
      <c r="Y558" s="8"/>
      <c r="Z558" s="8"/>
    </row>
    <row r="559" ht="15.75" customHeight="1">
      <c r="Q559" s="8"/>
      <c r="R559" s="8"/>
      <c r="S559" s="8"/>
      <c r="T559" s="8"/>
      <c r="U559" s="8"/>
      <c r="V559" s="8"/>
      <c r="Y559" s="8"/>
      <c r="Z559" s="8"/>
    </row>
    <row r="560" ht="15.75" customHeight="1">
      <c r="Q560" s="8"/>
      <c r="R560" s="8"/>
      <c r="S560" s="8"/>
      <c r="T560" s="8"/>
      <c r="U560" s="8"/>
      <c r="V560" s="8"/>
      <c r="Y560" s="8"/>
      <c r="Z560" s="8"/>
    </row>
    <row r="561" ht="15.75" customHeight="1">
      <c r="Q561" s="8"/>
      <c r="R561" s="8"/>
      <c r="S561" s="8"/>
      <c r="T561" s="8"/>
      <c r="U561" s="8"/>
      <c r="V561" s="8"/>
      <c r="Y561" s="8"/>
      <c r="Z561" s="8"/>
    </row>
    <row r="562" ht="15.75" customHeight="1">
      <c r="Q562" s="8"/>
      <c r="R562" s="8"/>
      <c r="S562" s="8"/>
      <c r="T562" s="8"/>
      <c r="U562" s="8"/>
      <c r="V562" s="8"/>
      <c r="Y562" s="8"/>
      <c r="Z562" s="8"/>
    </row>
    <row r="563" ht="15.75" customHeight="1">
      <c r="Q563" s="8"/>
      <c r="R563" s="8"/>
      <c r="S563" s="8"/>
      <c r="T563" s="8"/>
      <c r="U563" s="8"/>
      <c r="V563" s="8"/>
      <c r="Y563" s="8"/>
      <c r="Z563" s="8"/>
    </row>
    <row r="564" ht="15.75" customHeight="1">
      <c r="Q564" s="8"/>
      <c r="R564" s="8"/>
      <c r="S564" s="8"/>
      <c r="T564" s="8"/>
      <c r="U564" s="8"/>
      <c r="V564" s="8"/>
      <c r="Y564" s="8"/>
      <c r="Z564" s="8"/>
    </row>
    <row r="565" ht="15.75" customHeight="1">
      <c r="Q565" s="8"/>
      <c r="R565" s="8"/>
      <c r="S565" s="8"/>
      <c r="T565" s="8"/>
      <c r="U565" s="8"/>
      <c r="V565" s="8"/>
      <c r="Y565" s="8"/>
      <c r="Z565" s="8"/>
    </row>
    <row r="566" ht="15.75" customHeight="1">
      <c r="Q566" s="8"/>
      <c r="R566" s="8"/>
      <c r="S566" s="8"/>
      <c r="T566" s="8"/>
      <c r="U566" s="8"/>
      <c r="V566" s="8"/>
      <c r="Y566" s="8"/>
      <c r="Z566" s="8"/>
    </row>
    <row r="567" ht="15.75" customHeight="1">
      <c r="Q567" s="8"/>
      <c r="R567" s="8"/>
      <c r="S567" s="8"/>
      <c r="T567" s="8"/>
      <c r="U567" s="8"/>
      <c r="V567" s="8"/>
      <c r="Y567" s="8"/>
      <c r="Z567" s="8"/>
    </row>
    <row r="568" ht="15.75" customHeight="1">
      <c r="Q568" s="8"/>
      <c r="R568" s="8"/>
      <c r="S568" s="8"/>
      <c r="T568" s="8"/>
      <c r="U568" s="8"/>
      <c r="V568" s="8"/>
      <c r="Y568" s="8"/>
      <c r="Z568" s="8"/>
    </row>
    <row r="569" ht="15.75" customHeight="1">
      <c r="Q569" s="8"/>
      <c r="R569" s="8"/>
      <c r="S569" s="8"/>
      <c r="T569" s="8"/>
      <c r="U569" s="8"/>
      <c r="V569" s="8"/>
      <c r="Y569" s="8"/>
      <c r="Z569" s="8"/>
    </row>
    <row r="570" ht="15.75" customHeight="1">
      <c r="Q570" s="8"/>
      <c r="R570" s="8"/>
      <c r="S570" s="8"/>
      <c r="T570" s="8"/>
      <c r="U570" s="8"/>
      <c r="V570" s="8"/>
      <c r="Y570" s="8"/>
      <c r="Z570" s="8"/>
    </row>
    <row r="571" ht="15.75" customHeight="1">
      <c r="Q571" s="8"/>
      <c r="R571" s="8"/>
      <c r="S571" s="8"/>
      <c r="T571" s="8"/>
      <c r="U571" s="8"/>
      <c r="V571" s="8"/>
      <c r="Y571" s="8"/>
      <c r="Z571" s="8"/>
    </row>
    <row r="572" ht="15.75" customHeight="1">
      <c r="Q572" s="8"/>
      <c r="R572" s="8"/>
      <c r="S572" s="8"/>
      <c r="T572" s="8"/>
      <c r="U572" s="8"/>
      <c r="V572" s="8"/>
      <c r="Y572" s="8"/>
      <c r="Z572" s="8"/>
    </row>
    <row r="573" ht="15.75" customHeight="1">
      <c r="Q573" s="8"/>
      <c r="R573" s="8"/>
      <c r="S573" s="8"/>
      <c r="T573" s="8"/>
      <c r="U573" s="8"/>
      <c r="V573" s="8"/>
      <c r="Y573" s="8"/>
      <c r="Z573" s="8"/>
    </row>
    <row r="574" ht="15.75" customHeight="1">
      <c r="Q574" s="8"/>
      <c r="R574" s="8"/>
      <c r="S574" s="8"/>
      <c r="T574" s="8"/>
      <c r="U574" s="8"/>
      <c r="V574" s="8"/>
      <c r="Y574" s="8"/>
      <c r="Z574" s="8"/>
    </row>
    <row r="575" ht="15.75" customHeight="1">
      <c r="Q575" s="8"/>
      <c r="R575" s="8"/>
      <c r="S575" s="8"/>
      <c r="T575" s="8"/>
      <c r="U575" s="8"/>
      <c r="V575" s="8"/>
      <c r="Y575" s="8"/>
      <c r="Z575" s="8"/>
    </row>
    <row r="576" ht="15.75" customHeight="1">
      <c r="Q576" s="8"/>
      <c r="R576" s="8"/>
      <c r="S576" s="8"/>
      <c r="T576" s="8"/>
      <c r="U576" s="8"/>
      <c r="V576" s="8"/>
      <c r="Y576" s="8"/>
      <c r="Z576" s="8"/>
    </row>
    <row r="577" ht="15.75" customHeight="1">
      <c r="Q577" s="8"/>
      <c r="R577" s="8"/>
      <c r="S577" s="8"/>
      <c r="T577" s="8"/>
      <c r="U577" s="8"/>
      <c r="V577" s="8"/>
      <c r="Y577" s="8"/>
      <c r="Z577" s="8"/>
    </row>
    <row r="578" ht="15.75" customHeight="1">
      <c r="Q578" s="8"/>
      <c r="R578" s="8"/>
      <c r="S578" s="8"/>
      <c r="T578" s="8"/>
      <c r="U578" s="8"/>
      <c r="V578" s="8"/>
      <c r="Y578" s="8"/>
      <c r="Z578" s="8"/>
    </row>
    <row r="579" ht="15.75" customHeight="1">
      <c r="Q579" s="8"/>
      <c r="R579" s="8"/>
      <c r="S579" s="8"/>
      <c r="T579" s="8"/>
      <c r="U579" s="8"/>
      <c r="V579" s="8"/>
      <c r="Y579" s="8"/>
      <c r="Z579" s="8"/>
    </row>
    <row r="580" ht="15.75" customHeight="1">
      <c r="Q580" s="8"/>
      <c r="R580" s="8"/>
      <c r="S580" s="8"/>
      <c r="T580" s="8"/>
      <c r="U580" s="8"/>
      <c r="V580" s="8"/>
      <c r="Y580" s="8"/>
      <c r="Z580" s="8"/>
    </row>
    <row r="581" ht="15.75" customHeight="1">
      <c r="Q581" s="8"/>
      <c r="R581" s="8"/>
      <c r="S581" s="8"/>
      <c r="T581" s="8"/>
      <c r="U581" s="8"/>
      <c r="V581" s="8"/>
      <c r="Y581" s="8"/>
      <c r="Z581" s="8"/>
    </row>
    <row r="582" ht="15.75" customHeight="1">
      <c r="Q582" s="8"/>
      <c r="R582" s="8"/>
      <c r="S582" s="8"/>
      <c r="T582" s="8"/>
      <c r="U582" s="8"/>
      <c r="V582" s="8"/>
      <c r="Y582" s="8"/>
      <c r="Z582" s="8"/>
    </row>
    <row r="583" ht="15.75" customHeight="1">
      <c r="Q583" s="8"/>
      <c r="R583" s="8"/>
      <c r="S583" s="8"/>
      <c r="T583" s="8"/>
      <c r="U583" s="8"/>
      <c r="V583" s="8"/>
      <c r="Y583" s="8"/>
      <c r="Z583" s="8"/>
    </row>
    <row r="584" ht="15.75" customHeight="1">
      <c r="Q584" s="8"/>
      <c r="R584" s="8"/>
      <c r="S584" s="8"/>
      <c r="T584" s="8"/>
      <c r="U584" s="8"/>
      <c r="V584" s="8"/>
      <c r="Y584" s="8"/>
      <c r="Z584" s="8"/>
    </row>
    <row r="585" ht="15.75" customHeight="1">
      <c r="Q585" s="8"/>
      <c r="R585" s="8"/>
      <c r="S585" s="8"/>
      <c r="T585" s="8"/>
      <c r="U585" s="8"/>
      <c r="V585" s="8"/>
      <c r="Y585" s="8"/>
      <c r="Z585" s="8"/>
    </row>
    <row r="586" ht="15.75" customHeight="1">
      <c r="Q586" s="8"/>
      <c r="R586" s="8"/>
      <c r="S586" s="8"/>
      <c r="T586" s="8"/>
      <c r="U586" s="8"/>
      <c r="V586" s="8"/>
      <c r="Y586" s="8"/>
      <c r="Z586" s="8"/>
    </row>
    <row r="587" ht="15.75" customHeight="1">
      <c r="Q587" s="8"/>
      <c r="R587" s="8"/>
      <c r="S587" s="8"/>
      <c r="T587" s="8"/>
      <c r="U587" s="8"/>
      <c r="V587" s="8"/>
      <c r="Y587" s="8"/>
      <c r="Z587" s="8"/>
    </row>
    <row r="588" ht="15.75" customHeight="1">
      <c r="Q588" s="8"/>
      <c r="R588" s="8"/>
      <c r="S588" s="8"/>
      <c r="T588" s="8"/>
      <c r="U588" s="8"/>
      <c r="V588" s="8"/>
      <c r="Y588" s="8"/>
      <c r="Z588" s="8"/>
    </row>
    <row r="589" ht="15.75" customHeight="1">
      <c r="Q589" s="8"/>
      <c r="R589" s="8"/>
      <c r="S589" s="8"/>
      <c r="T589" s="8"/>
      <c r="U589" s="8"/>
      <c r="V589" s="8"/>
      <c r="Y589" s="8"/>
      <c r="Z589" s="8"/>
    </row>
    <row r="590" ht="15.75" customHeight="1">
      <c r="Q590" s="8"/>
      <c r="R590" s="8"/>
      <c r="S590" s="8"/>
      <c r="T590" s="8"/>
      <c r="U590" s="8"/>
      <c r="V590" s="8"/>
      <c r="Y590" s="8"/>
      <c r="Z590" s="8"/>
    </row>
    <row r="591" ht="15.75" customHeight="1">
      <c r="Q591" s="8"/>
      <c r="R591" s="8"/>
      <c r="S591" s="8"/>
      <c r="T591" s="8"/>
      <c r="U591" s="8"/>
      <c r="V591" s="8"/>
      <c r="Y591" s="8"/>
      <c r="Z591" s="8"/>
    </row>
    <row r="592" ht="15.75" customHeight="1">
      <c r="Q592" s="8"/>
      <c r="R592" s="8"/>
      <c r="S592" s="8"/>
      <c r="T592" s="8"/>
      <c r="U592" s="8"/>
      <c r="V592" s="8"/>
      <c r="Y592" s="8"/>
      <c r="Z592" s="8"/>
    </row>
    <row r="593" ht="15.75" customHeight="1">
      <c r="Q593" s="8"/>
      <c r="R593" s="8"/>
      <c r="S593" s="8"/>
      <c r="T593" s="8"/>
      <c r="U593" s="8"/>
      <c r="V593" s="8"/>
      <c r="Y593" s="8"/>
      <c r="Z593" s="8"/>
    </row>
    <row r="594" ht="15.75" customHeight="1">
      <c r="Q594" s="8"/>
      <c r="R594" s="8"/>
      <c r="S594" s="8"/>
      <c r="T594" s="8"/>
      <c r="U594" s="8"/>
      <c r="V594" s="8"/>
      <c r="Y594" s="8"/>
      <c r="Z594" s="8"/>
    </row>
    <row r="595" ht="15.75" customHeight="1">
      <c r="Q595" s="8"/>
      <c r="R595" s="8"/>
      <c r="S595" s="8"/>
      <c r="T595" s="8"/>
      <c r="U595" s="8"/>
      <c r="V595" s="8"/>
      <c r="Y595" s="8"/>
      <c r="Z595" s="8"/>
    </row>
    <row r="596" ht="15.75" customHeight="1">
      <c r="Q596" s="8"/>
      <c r="R596" s="8"/>
      <c r="S596" s="8"/>
      <c r="T596" s="8"/>
      <c r="U596" s="8"/>
      <c r="V596" s="8"/>
      <c r="Y596" s="8"/>
      <c r="Z596" s="8"/>
    </row>
    <row r="597" ht="15.75" customHeight="1">
      <c r="Q597" s="8"/>
      <c r="R597" s="8"/>
      <c r="S597" s="8"/>
      <c r="T597" s="8"/>
      <c r="U597" s="8"/>
      <c r="V597" s="8"/>
      <c r="Y597" s="8"/>
      <c r="Z597" s="8"/>
    </row>
    <row r="598" ht="15.75" customHeight="1">
      <c r="Q598" s="8"/>
      <c r="R598" s="8"/>
      <c r="S598" s="8"/>
      <c r="T598" s="8"/>
      <c r="U598" s="8"/>
      <c r="V598" s="8"/>
      <c r="Y598" s="8"/>
      <c r="Z598" s="8"/>
    </row>
    <row r="599" ht="15.75" customHeight="1">
      <c r="Q599" s="8"/>
      <c r="R599" s="8"/>
      <c r="S599" s="8"/>
      <c r="T599" s="8"/>
      <c r="U599" s="8"/>
      <c r="V599" s="8"/>
      <c r="Y599" s="8"/>
      <c r="Z599" s="8"/>
    </row>
    <row r="600" ht="15.75" customHeight="1">
      <c r="Q600" s="8"/>
      <c r="R600" s="8"/>
      <c r="S600" s="8"/>
      <c r="T600" s="8"/>
      <c r="U600" s="8"/>
      <c r="V600" s="8"/>
      <c r="Y600" s="8"/>
      <c r="Z600" s="8"/>
    </row>
    <row r="601" ht="15.75" customHeight="1">
      <c r="Q601" s="8"/>
      <c r="R601" s="8"/>
      <c r="S601" s="8"/>
      <c r="T601" s="8"/>
      <c r="U601" s="8"/>
      <c r="V601" s="8"/>
      <c r="Y601" s="8"/>
      <c r="Z601" s="8"/>
    </row>
    <row r="602" ht="15.75" customHeight="1">
      <c r="Q602" s="8"/>
      <c r="R602" s="8"/>
      <c r="S602" s="8"/>
      <c r="T602" s="8"/>
      <c r="U602" s="8"/>
      <c r="V602" s="8"/>
      <c r="Y602" s="8"/>
      <c r="Z602" s="8"/>
    </row>
    <row r="603" ht="15.75" customHeight="1">
      <c r="Q603" s="8"/>
      <c r="R603" s="8"/>
      <c r="S603" s="8"/>
      <c r="T603" s="8"/>
      <c r="U603" s="8"/>
      <c r="V603" s="8"/>
      <c r="Y603" s="8"/>
      <c r="Z603" s="8"/>
    </row>
    <row r="604" ht="15.75" customHeight="1">
      <c r="Q604" s="8"/>
      <c r="R604" s="8"/>
      <c r="S604" s="8"/>
      <c r="T604" s="8"/>
      <c r="U604" s="8"/>
      <c r="V604" s="8"/>
      <c r="Y604" s="8"/>
      <c r="Z604" s="8"/>
    </row>
    <row r="605" ht="15.75" customHeight="1">
      <c r="Q605" s="8"/>
      <c r="R605" s="8"/>
      <c r="S605" s="8"/>
      <c r="T605" s="8"/>
      <c r="U605" s="8"/>
      <c r="V605" s="8"/>
      <c r="Y605" s="8"/>
      <c r="Z605" s="8"/>
    </row>
    <row r="606" ht="15.75" customHeight="1">
      <c r="Q606" s="8"/>
      <c r="R606" s="8"/>
      <c r="S606" s="8"/>
      <c r="T606" s="8"/>
      <c r="U606" s="8"/>
      <c r="V606" s="8"/>
      <c r="Y606" s="8"/>
      <c r="Z606" s="8"/>
    </row>
    <row r="607" ht="15.75" customHeight="1">
      <c r="Q607" s="8"/>
      <c r="R607" s="8"/>
      <c r="S607" s="8"/>
      <c r="T607" s="8"/>
      <c r="U607" s="8"/>
      <c r="V607" s="8"/>
      <c r="Y607" s="8"/>
      <c r="Z607" s="8"/>
    </row>
    <row r="608" ht="15.75" customHeight="1">
      <c r="Q608" s="8"/>
      <c r="R608" s="8"/>
      <c r="S608" s="8"/>
      <c r="T608" s="8"/>
      <c r="U608" s="8"/>
      <c r="V608" s="8"/>
      <c r="Y608" s="8"/>
      <c r="Z608" s="8"/>
    </row>
    <row r="609" ht="15.75" customHeight="1">
      <c r="Q609" s="8"/>
      <c r="R609" s="8"/>
      <c r="S609" s="8"/>
      <c r="T609" s="8"/>
      <c r="U609" s="8"/>
      <c r="V609" s="8"/>
      <c r="Y609" s="8"/>
      <c r="Z609" s="8"/>
    </row>
    <row r="610" ht="15.75" customHeight="1">
      <c r="Q610" s="8"/>
      <c r="R610" s="8"/>
      <c r="S610" s="8"/>
      <c r="T610" s="8"/>
      <c r="U610" s="8"/>
      <c r="V610" s="8"/>
      <c r="Y610" s="8"/>
      <c r="Z610" s="8"/>
    </row>
    <row r="611" ht="15.75" customHeight="1">
      <c r="Q611" s="8"/>
      <c r="R611" s="8"/>
      <c r="S611" s="8"/>
      <c r="T611" s="8"/>
      <c r="U611" s="8"/>
      <c r="V611" s="8"/>
      <c r="Y611" s="8"/>
      <c r="Z611" s="8"/>
    </row>
    <row r="612" ht="15.75" customHeight="1">
      <c r="Q612" s="8"/>
      <c r="R612" s="8"/>
      <c r="S612" s="8"/>
      <c r="T612" s="8"/>
      <c r="U612" s="8"/>
      <c r="V612" s="8"/>
      <c r="Y612" s="8"/>
      <c r="Z612" s="8"/>
    </row>
    <row r="613" ht="15.75" customHeight="1">
      <c r="Q613" s="8"/>
      <c r="R613" s="8"/>
      <c r="S613" s="8"/>
      <c r="T613" s="8"/>
      <c r="U613" s="8"/>
      <c r="V613" s="8"/>
      <c r="Y613" s="8"/>
      <c r="Z613" s="8"/>
    </row>
    <row r="614" ht="15.75" customHeight="1">
      <c r="Q614" s="8"/>
      <c r="R614" s="8"/>
      <c r="S614" s="8"/>
      <c r="T614" s="8"/>
      <c r="U614" s="8"/>
      <c r="V614" s="8"/>
      <c r="Y614" s="8"/>
      <c r="Z614" s="8"/>
    </row>
    <row r="615" ht="15.75" customHeight="1">
      <c r="Q615" s="8"/>
      <c r="R615" s="8"/>
      <c r="S615" s="8"/>
      <c r="T615" s="8"/>
      <c r="U615" s="8"/>
      <c r="V615" s="8"/>
      <c r="Y615" s="8"/>
      <c r="Z615" s="8"/>
    </row>
    <row r="616" ht="15.75" customHeight="1">
      <c r="Q616" s="8"/>
      <c r="R616" s="8"/>
      <c r="S616" s="8"/>
      <c r="T616" s="8"/>
      <c r="U616" s="8"/>
      <c r="V616" s="8"/>
      <c r="Y616" s="8"/>
      <c r="Z616" s="8"/>
    </row>
    <row r="617" ht="15.75" customHeight="1">
      <c r="Q617" s="8"/>
      <c r="R617" s="8"/>
      <c r="S617" s="8"/>
      <c r="T617" s="8"/>
      <c r="U617" s="8"/>
      <c r="V617" s="8"/>
      <c r="Y617" s="8"/>
      <c r="Z617" s="8"/>
    </row>
    <row r="618" ht="15.75" customHeight="1">
      <c r="Q618" s="8"/>
      <c r="R618" s="8"/>
      <c r="S618" s="8"/>
      <c r="T618" s="8"/>
      <c r="U618" s="8"/>
      <c r="V618" s="8"/>
      <c r="Y618" s="8"/>
      <c r="Z618" s="8"/>
    </row>
    <row r="619" ht="15.75" customHeight="1">
      <c r="Q619" s="8"/>
      <c r="R619" s="8"/>
      <c r="S619" s="8"/>
      <c r="T619" s="8"/>
      <c r="U619" s="8"/>
      <c r="V619" s="8"/>
      <c r="Y619" s="8"/>
      <c r="Z619" s="8"/>
    </row>
    <row r="620" ht="15.75" customHeight="1">
      <c r="Q620" s="8"/>
      <c r="R620" s="8"/>
      <c r="S620" s="8"/>
      <c r="T620" s="8"/>
      <c r="U620" s="8"/>
      <c r="V620" s="8"/>
      <c r="Y620" s="8"/>
      <c r="Z620" s="8"/>
    </row>
    <row r="621" ht="15.75" customHeight="1">
      <c r="Q621" s="8"/>
      <c r="R621" s="8"/>
      <c r="S621" s="8"/>
      <c r="T621" s="8"/>
      <c r="U621" s="8"/>
      <c r="V621" s="8"/>
      <c r="Y621" s="8"/>
      <c r="Z621" s="8"/>
    </row>
    <row r="622" ht="15.75" customHeight="1">
      <c r="Q622" s="8"/>
      <c r="R622" s="8"/>
      <c r="S622" s="8"/>
      <c r="T622" s="8"/>
      <c r="U622" s="8"/>
      <c r="V622" s="8"/>
      <c r="Y622" s="8"/>
      <c r="Z622" s="8"/>
    </row>
    <row r="623" ht="15.75" customHeight="1">
      <c r="Q623" s="8"/>
      <c r="R623" s="8"/>
      <c r="S623" s="8"/>
      <c r="T623" s="8"/>
      <c r="U623" s="8"/>
      <c r="V623" s="8"/>
      <c r="Y623" s="8"/>
      <c r="Z623" s="8"/>
    </row>
    <row r="624" ht="15.75" customHeight="1">
      <c r="Q624" s="8"/>
      <c r="R624" s="8"/>
      <c r="S624" s="8"/>
      <c r="T624" s="8"/>
      <c r="U624" s="8"/>
      <c r="V624" s="8"/>
      <c r="Y624" s="8"/>
      <c r="Z624" s="8"/>
    </row>
    <row r="625" ht="15.75" customHeight="1">
      <c r="Q625" s="8"/>
      <c r="R625" s="8"/>
      <c r="S625" s="8"/>
      <c r="T625" s="8"/>
      <c r="U625" s="8"/>
      <c r="V625" s="8"/>
      <c r="Y625" s="8"/>
      <c r="Z625" s="8"/>
    </row>
    <row r="626" ht="15.75" customHeight="1">
      <c r="Q626" s="8"/>
      <c r="R626" s="8"/>
      <c r="S626" s="8"/>
      <c r="T626" s="8"/>
      <c r="U626" s="8"/>
      <c r="V626" s="8"/>
      <c r="Y626" s="8"/>
      <c r="Z626" s="8"/>
    </row>
    <row r="627" ht="15.75" customHeight="1">
      <c r="Q627" s="8"/>
      <c r="R627" s="8"/>
      <c r="S627" s="8"/>
      <c r="T627" s="8"/>
      <c r="U627" s="8"/>
      <c r="V627" s="8"/>
      <c r="Y627" s="8"/>
      <c r="Z627" s="8"/>
    </row>
    <row r="628" ht="15.75" customHeight="1">
      <c r="Q628" s="8"/>
      <c r="R628" s="8"/>
      <c r="S628" s="8"/>
      <c r="T628" s="8"/>
      <c r="U628" s="8"/>
      <c r="V628" s="8"/>
      <c r="Y628" s="8"/>
      <c r="Z628" s="8"/>
    </row>
    <row r="629" ht="15.75" customHeight="1">
      <c r="Q629" s="8"/>
      <c r="R629" s="8"/>
      <c r="S629" s="8"/>
      <c r="T629" s="8"/>
      <c r="U629" s="8"/>
      <c r="V629" s="8"/>
      <c r="Y629" s="8"/>
      <c r="Z629" s="8"/>
    </row>
    <row r="630" ht="15.75" customHeight="1">
      <c r="Q630" s="8"/>
      <c r="R630" s="8"/>
      <c r="S630" s="8"/>
      <c r="T630" s="8"/>
      <c r="U630" s="8"/>
      <c r="V630" s="8"/>
      <c r="Y630" s="8"/>
      <c r="Z630" s="8"/>
    </row>
    <row r="631" ht="15.75" customHeight="1">
      <c r="Q631" s="8"/>
      <c r="R631" s="8"/>
      <c r="S631" s="8"/>
      <c r="T631" s="8"/>
      <c r="U631" s="8"/>
      <c r="V631" s="8"/>
      <c r="Y631" s="8"/>
      <c r="Z631" s="8"/>
    </row>
    <row r="632" ht="15.75" customHeight="1">
      <c r="Q632" s="8"/>
      <c r="R632" s="8"/>
      <c r="S632" s="8"/>
      <c r="T632" s="8"/>
      <c r="U632" s="8"/>
      <c r="V632" s="8"/>
      <c r="Y632" s="8"/>
      <c r="Z632" s="8"/>
    </row>
    <row r="633" ht="15.75" customHeight="1">
      <c r="Q633" s="8"/>
      <c r="R633" s="8"/>
      <c r="S633" s="8"/>
      <c r="T633" s="8"/>
      <c r="U633" s="8"/>
      <c r="V633" s="8"/>
      <c r="Y633" s="8"/>
      <c r="Z633" s="8"/>
    </row>
    <row r="634" ht="15.75" customHeight="1">
      <c r="Q634" s="8"/>
      <c r="R634" s="8"/>
      <c r="S634" s="8"/>
      <c r="T634" s="8"/>
      <c r="U634" s="8"/>
      <c r="V634" s="8"/>
      <c r="Y634" s="8"/>
      <c r="Z634" s="8"/>
    </row>
    <row r="635" ht="15.75" customHeight="1">
      <c r="Q635" s="8"/>
      <c r="R635" s="8"/>
      <c r="S635" s="8"/>
      <c r="T635" s="8"/>
      <c r="U635" s="8"/>
      <c r="V635" s="8"/>
      <c r="Y635" s="8"/>
      <c r="Z635" s="8"/>
    </row>
    <row r="636" ht="15.75" customHeight="1">
      <c r="Q636" s="8"/>
      <c r="R636" s="8"/>
      <c r="S636" s="8"/>
      <c r="T636" s="8"/>
      <c r="U636" s="8"/>
      <c r="V636" s="8"/>
      <c r="Y636" s="8"/>
      <c r="Z636" s="8"/>
    </row>
    <row r="637" ht="15.75" customHeight="1">
      <c r="Q637" s="8"/>
      <c r="R637" s="8"/>
      <c r="S637" s="8"/>
      <c r="T637" s="8"/>
      <c r="U637" s="8"/>
      <c r="V637" s="8"/>
      <c r="Y637" s="8"/>
      <c r="Z637" s="8"/>
    </row>
    <row r="638" ht="15.75" customHeight="1">
      <c r="Q638" s="8"/>
      <c r="R638" s="8"/>
      <c r="S638" s="8"/>
      <c r="T638" s="8"/>
      <c r="U638" s="8"/>
      <c r="V638" s="8"/>
      <c r="Y638" s="8"/>
      <c r="Z638" s="8"/>
    </row>
    <row r="639" ht="15.75" customHeight="1">
      <c r="Q639" s="8"/>
      <c r="R639" s="8"/>
      <c r="S639" s="8"/>
      <c r="T639" s="8"/>
      <c r="U639" s="8"/>
      <c r="V639" s="8"/>
      <c r="Y639" s="8"/>
      <c r="Z639" s="8"/>
    </row>
    <row r="640" ht="15.75" customHeight="1">
      <c r="Q640" s="8"/>
      <c r="R640" s="8"/>
      <c r="S640" s="8"/>
      <c r="T640" s="8"/>
      <c r="U640" s="8"/>
      <c r="V640" s="8"/>
      <c r="Y640" s="8"/>
      <c r="Z640" s="8"/>
    </row>
    <row r="641" ht="15.75" customHeight="1">
      <c r="Q641" s="8"/>
      <c r="R641" s="8"/>
      <c r="S641" s="8"/>
      <c r="T641" s="8"/>
      <c r="U641" s="8"/>
      <c r="V641" s="8"/>
      <c r="Y641" s="8"/>
      <c r="Z641" s="8"/>
    </row>
    <row r="642" ht="15.75" customHeight="1">
      <c r="Q642" s="8"/>
      <c r="R642" s="8"/>
      <c r="S642" s="8"/>
      <c r="T642" s="8"/>
      <c r="U642" s="8"/>
      <c r="V642" s="8"/>
      <c r="Y642" s="8"/>
      <c r="Z642" s="8"/>
    </row>
    <row r="643" ht="15.75" customHeight="1">
      <c r="Q643" s="8"/>
      <c r="R643" s="8"/>
      <c r="S643" s="8"/>
      <c r="T643" s="8"/>
      <c r="U643" s="8"/>
      <c r="V643" s="8"/>
      <c r="Y643" s="8"/>
      <c r="Z643" s="8"/>
    </row>
    <row r="644" ht="15.75" customHeight="1">
      <c r="Q644" s="8"/>
      <c r="R644" s="8"/>
      <c r="S644" s="8"/>
      <c r="T644" s="8"/>
      <c r="U644" s="8"/>
      <c r="V644" s="8"/>
      <c r="Y644" s="8"/>
      <c r="Z644" s="8"/>
    </row>
    <row r="645" ht="15.75" customHeight="1">
      <c r="Q645" s="8"/>
      <c r="R645" s="8"/>
      <c r="S645" s="8"/>
      <c r="T645" s="8"/>
      <c r="U645" s="8"/>
      <c r="V645" s="8"/>
      <c r="Y645" s="8"/>
      <c r="Z645" s="8"/>
    </row>
    <row r="646" ht="15.75" customHeight="1">
      <c r="Q646" s="8"/>
      <c r="R646" s="8"/>
      <c r="S646" s="8"/>
      <c r="T646" s="8"/>
      <c r="U646" s="8"/>
      <c r="V646" s="8"/>
      <c r="Y646" s="8"/>
      <c r="Z646" s="8"/>
    </row>
    <row r="647" ht="15.75" customHeight="1">
      <c r="Q647" s="8"/>
      <c r="R647" s="8"/>
      <c r="S647" s="8"/>
      <c r="T647" s="8"/>
      <c r="U647" s="8"/>
      <c r="V647" s="8"/>
      <c r="Y647" s="8"/>
      <c r="Z647" s="8"/>
    </row>
    <row r="648" ht="15.75" customHeight="1">
      <c r="Q648" s="8"/>
      <c r="R648" s="8"/>
      <c r="S648" s="8"/>
      <c r="T648" s="8"/>
      <c r="U648" s="8"/>
      <c r="V648" s="8"/>
      <c r="Y648" s="8"/>
      <c r="Z648" s="8"/>
    </row>
    <row r="649" ht="15.75" customHeight="1">
      <c r="Q649" s="8"/>
      <c r="R649" s="8"/>
      <c r="S649" s="8"/>
      <c r="T649" s="8"/>
      <c r="U649" s="8"/>
      <c r="V649" s="8"/>
      <c r="Y649" s="8"/>
      <c r="Z649" s="8"/>
    </row>
    <row r="650" ht="15.75" customHeight="1">
      <c r="Q650" s="8"/>
      <c r="R650" s="8"/>
      <c r="S650" s="8"/>
      <c r="T650" s="8"/>
      <c r="U650" s="8"/>
      <c r="V650" s="8"/>
      <c r="Y650" s="8"/>
      <c r="Z650" s="8"/>
    </row>
    <row r="651" ht="15.75" customHeight="1">
      <c r="Q651" s="8"/>
      <c r="R651" s="8"/>
      <c r="S651" s="8"/>
      <c r="T651" s="8"/>
      <c r="U651" s="8"/>
      <c r="V651" s="8"/>
      <c r="Y651" s="8"/>
      <c r="Z651" s="8"/>
    </row>
    <row r="652" ht="15.75" customHeight="1">
      <c r="Q652" s="8"/>
      <c r="R652" s="8"/>
      <c r="S652" s="8"/>
      <c r="T652" s="8"/>
      <c r="U652" s="8"/>
      <c r="V652" s="8"/>
      <c r="Y652" s="8"/>
      <c r="Z652" s="8"/>
    </row>
    <row r="653" ht="15.75" customHeight="1">
      <c r="Q653" s="8"/>
      <c r="R653" s="8"/>
      <c r="S653" s="8"/>
      <c r="T653" s="8"/>
      <c r="U653" s="8"/>
      <c r="V653" s="8"/>
      <c r="Y653" s="8"/>
      <c r="Z653" s="8"/>
    </row>
    <row r="654" ht="15.75" customHeight="1">
      <c r="Q654" s="8"/>
      <c r="R654" s="8"/>
      <c r="S654" s="8"/>
      <c r="T654" s="8"/>
      <c r="U654" s="8"/>
      <c r="V654" s="8"/>
      <c r="Y654" s="8"/>
      <c r="Z654" s="8"/>
    </row>
    <row r="655" ht="15.75" customHeight="1">
      <c r="Q655" s="8"/>
      <c r="R655" s="8"/>
      <c r="S655" s="8"/>
      <c r="T655" s="8"/>
      <c r="U655" s="8"/>
      <c r="V655" s="8"/>
      <c r="Y655" s="8"/>
      <c r="Z655" s="8"/>
    </row>
    <row r="656" ht="15.75" customHeight="1">
      <c r="Q656" s="8"/>
      <c r="R656" s="8"/>
      <c r="S656" s="8"/>
      <c r="T656" s="8"/>
      <c r="U656" s="8"/>
      <c r="V656" s="8"/>
      <c r="Y656" s="8"/>
      <c r="Z656" s="8"/>
    </row>
    <row r="657" ht="15.75" customHeight="1">
      <c r="Q657" s="8"/>
      <c r="R657" s="8"/>
      <c r="S657" s="8"/>
      <c r="T657" s="8"/>
      <c r="U657" s="8"/>
      <c r="V657" s="8"/>
      <c r="Y657" s="8"/>
      <c r="Z657" s="8"/>
    </row>
    <row r="658" ht="15.75" customHeight="1">
      <c r="Q658" s="8"/>
      <c r="R658" s="8"/>
      <c r="S658" s="8"/>
      <c r="T658" s="8"/>
      <c r="U658" s="8"/>
      <c r="V658" s="8"/>
      <c r="Y658" s="8"/>
      <c r="Z658" s="8"/>
    </row>
    <row r="659" ht="15.75" customHeight="1">
      <c r="Q659" s="8"/>
      <c r="R659" s="8"/>
      <c r="S659" s="8"/>
      <c r="T659" s="8"/>
      <c r="U659" s="8"/>
      <c r="V659" s="8"/>
      <c r="Y659" s="8"/>
      <c r="Z659" s="8"/>
    </row>
    <row r="660" ht="15.75" customHeight="1">
      <c r="Q660" s="8"/>
      <c r="R660" s="8"/>
      <c r="S660" s="8"/>
      <c r="T660" s="8"/>
      <c r="U660" s="8"/>
      <c r="V660" s="8"/>
      <c r="Y660" s="8"/>
      <c r="Z660" s="8"/>
    </row>
    <row r="661" ht="15.75" customHeight="1">
      <c r="Q661" s="8"/>
      <c r="R661" s="8"/>
      <c r="S661" s="8"/>
      <c r="T661" s="8"/>
      <c r="U661" s="8"/>
      <c r="V661" s="8"/>
      <c r="Y661" s="8"/>
      <c r="Z661" s="8"/>
    </row>
    <row r="662" ht="15.75" customHeight="1">
      <c r="Q662" s="8"/>
      <c r="R662" s="8"/>
      <c r="S662" s="8"/>
      <c r="T662" s="8"/>
      <c r="U662" s="8"/>
      <c r="V662" s="8"/>
      <c r="Y662" s="8"/>
      <c r="Z662" s="8"/>
    </row>
    <row r="663" ht="15.75" customHeight="1">
      <c r="Q663" s="8"/>
      <c r="R663" s="8"/>
      <c r="S663" s="8"/>
      <c r="T663" s="8"/>
      <c r="U663" s="8"/>
      <c r="V663" s="8"/>
      <c r="Y663" s="8"/>
      <c r="Z663" s="8"/>
    </row>
    <row r="664" ht="15.75" customHeight="1">
      <c r="Q664" s="8"/>
      <c r="R664" s="8"/>
      <c r="S664" s="8"/>
      <c r="T664" s="8"/>
      <c r="U664" s="8"/>
      <c r="V664" s="8"/>
      <c r="Y664" s="8"/>
      <c r="Z664" s="8"/>
    </row>
    <row r="665" ht="15.75" customHeight="1">
      <c r="Q665" s="8"/>
      <c r="R665" s="8"/>
      <c r="S665" s="8"/>
      <c r="T665" s="8"/>
      <c r="U665" s="8"/>
      <c r="V665" s="8"/>
      <c r="Y665" s="8"/>
      <c r="Z665" s="8"/>
    </row>
    <row r="666" ht="15.75" customHeight="1">
      <c r="Q666" s="8"/>
      <c r="R666" s="8"/>
      <c r="S666" s="8"/>
      <c r="T666" s="8"/>
      <c r="U666" s="8"/>
      <c r="V666" s="8"/>
      <c r="Y666" s="8"/>
      <c r="Z666" s="8"/>
    </row>
    <row r="667" ht="15.75" customHeight="1">
      <c r="Q667" s="8"/>
      <c r="R667" s="8"/>
      <c r="S667" s="8"/>
      <c r="T667" s="8"/>
      <c r="U667" s="8"/>
      <c r="V667" s="8"/>
      <c r="Y667" s="8"/>
      <c r="Z667" s="8"/>
    </row>
    <row r="668" ht="15.75" customHeight="1">
      <c r="Q668" s="8"/>
      <c r="R668" s="8"/>
      <c r="S668" s="8"/>
      <c r="T668" s="8"/>
      <c r="U668" s="8"/>
      <c r="V668" s="8"/>
      <c r="Y668" s="8"/>
      <c r="Z668" s="8"/>
    </row>
    <row r="669" ht="15.75" customHeight="1">
      <c r="Q669" s="8"/>
      <c r="R669" s="8"/>
      <c r="S669" s="8"/>
      <c r="T669" s="8"/>
      <c r="U669" s="8"/>
      <c r="V669" s="8"/>
      <c r="Y669" s="8"/>
      <c r="Z669" s="8"/>
    </row>
    <row r="670" ht="15.75" customHeight="1">
      <c r="Q670" s="8"/>
      <c r="R670" s="8"/>
      <c r="S670" s="8"/>
      <c r="T670" s="8"/>
      <c r="U670" s="8"/>
      <c r="V670" s="8"/>
      <c r="Y670" s="8"/>
      <c r="Z670" s="8"/>
    </row>
    <row r="671" ht="15.75" customHeight="1">
      <c r="Q671" s="8"/>
      <c r="R671" s="8"/>
      <c r="S671" s="8"/>
      <c r="T671" s="8"/>
      <c r="U671" s="8"/>
      <c r="V671" s="8"/>
      <c r="Y671" s="8"/>
      <c r="Z671" s="8"/>
    </row>
    <row r="672" ht="15.75" customHeight="1">
      <c r="Q672" s="8"/>
      <c r="R672" s="8"/>
      <c r="S672" s="8"/>
      <c r="T672" s="8"/>
      <c r="U672" s="8"/>
      <c r="V672" s="8"/>
      <c r="Y672" s="8"/>
      <c r="Z672" s="8"/>
    </row>
    <row r="673" ht="15.75" customHeight="1">
      <c r="Q673" s="8"/>
      <c r="R673" s="8"/>
      <c r="S673" s="8"/>
      <c r="T673" s="8"/>
      <c r="U673" s="8"/>
      <c r="V673" s="8"/>
      <c r="Y673" s="8"/>
      <c r="Z673" s="8"/>
    </row>
    <row r="674" ht="15.75" customHeight="1">
      <c r="Q674" s="8"/>
      <c r="R674" s="8"/>
      <c r="S674" s="8"/>
      <c r="T674" s="8"/>
      <c r="U674" s="8"/>
      <c r="V674" s="8"/>
      <c r="Y674" s="8"/>
      <c r="Z674" s="8"/>
    </row>
    <row r="675" ht="15.75" customHeight="1">
      <c r="Q675" s="8"/>
      <c r="R675" s="8"/>
      <c r="S675" s="8"/>
      <c r="T675" s="8"/>
      <c r="U675" s="8"/>
      <c r="V675" s="8"/>
      <c r="Y675" s="8"/>
      <c r="Z675" s="8"/>
    </row>
    <row r="676" ht="15.75" customHeight="1">
      <c r="Q676" s="8"/>
      <c r="R676" s="8"/>
      <c r="S676" s="8"/>
      <c r="T676" s="8"/>
      <c r="U676" s="8"/>
      <c r="V676" s="8"/>
      <c r="Y676" s="8"/>
      <c r="Z676" s="8"/>
    </row>
    <row r="677" ht="15.75" customHeight="1">
      <c r="Q677" s="8"/>
      <c r="R677" s="8"/>
      <c r="S677" s="8"/>
      <c r="T677" s="8"/>
      <c r="U677" s="8"/>
      <c r="V677" s="8"/>
      <c r="Y677" s="8"/>
      <c r="Z677" s="8"/>
    </row>
    <row r="678" ht="15.75" customHeight="1">
      <c r="Q678" s="8"/>
      <c r="R678" s="8"/>
      <c r="S678" s="8"/>
      <c r="T678" s="8"/>
      <c r="U678" s="8"/>
      <c r="V678" s="8"/>
      <c r="Y678" s="8"/>
      <c r="Z678" s="8"/>
    </row>
    <row r="679" ht="15.75" customHeight="1">
      <c r="Q679" s="8"/>
      <c r="R679" s="8"/>
      <c r="S679" s="8"/>
      <c r="T679" s="8"/>
      <c r="U679" s="8"/>
      <c r="V679" s="8"/>
      <c r="Y679" s="8"/>
      <c r="Z679" s="8"/>
    </row>
    <row r="680" ht="15.75" customHeight="1">
      <c r="Q680" s="8"/>
      <c r="R680" s="8"/>
      <c r="S680" s="8"/>
      <c r="T680" s="8"/>
      <c r="U680" s="8"/>
      <c r="V680" s="8"/>
      <c r="Y680" s="8"/>
      <c r="Z680" s="8"/>
    </row>
    <row r="681" ht="15.75" customHeight="1">
      <c r="Q681" s="8"/>
      <c r="R681" s="8"/>
      <c r="S681" s="8"/>
      <c r="T681" s="8"/>
      <c r="U681" s="8"/>
      <c r="V681" s="8"/>
      <c r="Y681" s="8"/>
      <c r="Z681" s="8"/>
    </row>
    <row r="682" ht="15.75" customHeight="1">
      <c r="Q682" s="8"/>
      <c r="R682" s="8"/>
      <c r="S682" s="8"/>
      <c r="T682" s="8"/>
      <c r="U682" s="8"/>
      <c r="V682" s="8"/>
      <c r="Y682" s="8"/>
      <c r="Z682" s="8"/>
    </row>
    <row r="683" ht="15.75" customHeight="1">
      <c r="Q683" s="8"/>
      <c r="R683" s="8"/>
      <c r="S683" s="8"/>
      <c r="T683" s="8"/>
      <c r="U683" s="8"/>
      <c r="V683" s="8"/>
      <c r="Y683" s="8"/>
      <c r="Z683" s="8"/>
    </row>
    <row r="684" ht="15.75" customHeight="1">
      <c r="Q684" s="8"/>
      <c r="R684" s="8"/>
      <c r="S684" s="8"/>
      <c r="T684" s="8"/>
      <c r="U684" s="8"/>
      <c r="V684" s="8"/>
      <c r="Y684" s="8"/>
      <c r="Z684" s="8"/>
    </row>
    <row r="685" ht="15.75" customHeight="1">
      <c r="Q685" s="8"/>
      <c r="R685" s="8"/>
      <c r="S685" s="8"/>
      <c r="T685" s="8"/>
      <c r="U685" s="8"/>
      <c r="V685" s="8"/>
      <c r="Y685" s="8"/>
      <c r="Z685" s="8"/>
    </row>
    <row r="686" ht="15.75" customHeight="1">
      <c r="Q686" s="8"/>
      <c r="R686" s="8"/>
      <c r="S686" s="8"/>
      <c r="T686" s="8"/>
      <c r="U686" s="8"/>
      <c r="V686" s="8"/>
      <c r="Y686" s="8"/>
      <c r="Z686" s="8"/>
    </row>
    <row r="687" ht="15.75" customHeight="1">
      <c r="Q687" s="8"/>
      <c r="R687" s="8"/>
      <c r="S687" s="8"/>
      <c r="T687" s="8"/>
      <c r="U687" s="8"/>
      <c r="V687" s="8"/>
      <c r="Y687" s="8"/>
      <c r="Z687" s="8"/>
    </row>
    <row r="688" ht="15.75" customHeight="1">
      <c r="Q688" s="8"/>
      <c r="R688" s="8"/>
      <c r="S688" s="8"/>
      <c r="T688" s="8"/>
      <c r="U688" s="8"/>
      <c r="V688" s="8"/>
      <c r="Y688" s="8"/>
      <c r="Z688" s="8"/>
    </row>
    <row r="689" ht="15.75" customHeight="1">
      <c r="Q689" s="8"/>
      <c r="R689" s="8"/>
      <c r="S689" s="8"/>
      <c r="T689" s="8"/>
      <c r="U689" s="8"/>
      <c r="V689" s="8"/>
      <c r="Y689" s="8"/>
      <c r="Z689" s="8"/>
    </row>
    <row r="690" ht="15.75" customHeight="1">
      <c r="Q690" s="8"/>
      <c r="R690" s="8"/>
      <c r="S690" s="8"/>
      <c r="T690" s="8"/>
      <c r="U690" s="8"/>
      <c r="V690" s="8"/>
      <c r="Y690" s="8"/>
      <c r="Z690" s="8"/>
    </row>
    <row r="691" ht="15.75" customHeight="1">
      <c r="Q691" s="8"/>
      <c r="R691" s="8"/>
      <c r="S691" s="8"/>
      <c r="T691" s="8"/>
      <c r="U691" s="8"/>
      <c r="V691" s="8"/>
      <c r="Y691" s="8"/>
      <c r="Z691" s="8"/>
    </row>
    <row r="692" ht="15.75" customHeight="1">
      <c r="Q692" s="8"/>
      <c r="R692" s="8"/>
      <c r="S692" s="8"/>
      <c r="T692" s="8"/>
      <c r="U692" s="8"/>
      <c r="V692" s="8"/>
      <c r="Y692" s="8"/>
      <c r="Z692" s="8"/>
    </row>
    <row r="693" ht="15.75" customHeight="1">
      <c r="Q693" s="8"/>
      <c r="R693" s="8"/>
      <c r="S693" s="8"/>
      <c r="T693" s="8"/>
      <c r="U693" s="8"/>
      <c r="V693" s="8"/>
      <c r="Y693" s="8"/>
      <c r="Z693" s="8"/>
    </row>
    <row r="694" ht="15.75" customHeight="1">
      <c r="Q694" s="8"/>
      <c r="R694" s="8"/>
      <c r="S694" s="8"/>
      <c r="T694" s="8"/>
      <c r="U694" s="8"/>
      <c r="V694" s="8"/>
      <c r="Y694" s="8"/>
      <c r="Z694" s="8"/>
    </row>
    <row r="695" ht="15.75" customHeight="1">
      <c r="Q695" s="8"/>
      <c r="R695" s="8"/>
      <c r="S695" s="8"/>
      <c r="T695" s="8"/>
      <c r="U695" s="8"/>
      <c r="V695" s="8"/>
      <c r="Y695" s="8"/>
      <c r="Z695" s="8"/>
    </row>
    <row r="696" ht="15.75" customHeight="1">
      <c r="Q696" s="8"/>
      <c r="R696" s="8"/>
      <c r="S696" s="8"/>
      <c r="T696" s="8"/>
      <c r="U696" s="8"/>
      <c r="V696" s="8"/>
      <c r="Y696" s="8"/>
      <c r="Z696" s="8"/>
    </row>
    <row r="697" ht="15.75" customHeight="1">
      <c r="Q697" s="8"/>
      <c r="R697" s="8"/>
      <c r="S697" s="8"/>
      <c r="T697" s="8"/>
      <c r="U697" s="8"/>
      <c r="V697" s="8"/>
      <c r="Y697" s="8"/>
      <c r="Z697" s="8"/>
    </row>
    <row r="698" ht="15.75" customHeight="1">
      <c r="Q698" s="8"/>
      <c r="R698" s="8"/>
      <c r="S698" s="8"/>
      <c r="T698" s="8"/>
      <c r="U698" s="8"/>
      <c r="V698" s="8"/>
      <c r="Y698" s="8"/>
      <c r="Z698" s="8"/>
    </row>
    <row r="699" ht="15.75" customHeight="1">
      <c r="Q699" s="8"/>
      <c r="R699" s="8"/>
      <c r="S699" s="8"/>
      <c r="T699" s="8"/>
      <c r="U699" s="8"/>
      <c r="V699" s="8"/>
      <c r="Y699" s="8"/>
      <c r="Z699" s="8"/>
    </row>
    <row r="700" ht="15.75" customHeight="1">
      <c r="Q700" s="8"/>
      <c r="R700" s="8"/>
      <c r="S700" s="8"/>
      <c r="T700" s="8"/>
      <c r="U700" s="8"/>
      <c r="V700" s="8"/>
      <c r="Y700" s="8"/>
      <c r="Z700" s="8"/>
    </row>
    <row r="701" ht="15.75" customHeight="1">
      <c r="Q701" s="8"/>
      <c r="R701" s="8"/>
      <c r="S701" s="8"/>
      <c r="T701" s="8"/>
      <c r="U701" s="8"/>
      <c r="V701" s="8"/>
      <c r="Y701" s="8"/>
      <c r="Z701" s="8"/>
    </row>
    <row r="702" ht="15.75" customHeight="1">
      <c r="Q702" s="8"/>
      <c r="R702" s="8"/>
      <c r="S702" s="8"/>
      <c r="T702" s="8"/>
      <c r="U702" s="8"/>
      <c r="V702" s="8"/>
      <c r="Y702" s="8"/>
      <c r="Z702" s="8"/>
    </row>
    <row r="703" ht="15.75" customHeight="1">
      <c r="Q703" s="8"/>
      <c r="R703" s="8"/>
      <c r="S703" s="8"/>
      <c r="T703" s="8"/>
      <c r="U703" s="8"/>
      <c r="V703" s="8"/>
      <c r="Y703" s="8"/>
      <c r="Z703" s="8"/>
    </row>
    <row r="704" ht="15.75" customHeight="1">
      <c r="Q704" s="8"/>
      <c r="R704" s="8"/>
      <c r="S704" s="8"/>
      <c r="T704" s="8"/>
      <c r="U704" s="8"/>
      <c r="V704" s="8"/>
      <c r="Y704" s="8"/>
      <c r="Z704" s="8"/>
    </row>
    <row r="705" ht="15.75" customHeight="1">
      <c r="Q705" s="8"/>
      <c r="R705" s="8"/>
      <c r="S705" s="8"/>
      <c r="T705" s="8"/>
      <c r="U705" s="8"/>
      <c r="V705" s="8"/>
      <c r="Y705" s="8"/>
      <c r="Z705" s="8"/>
    </row>
    <row r="706" ht="15.75" customHeight="1">
      <c r="Q706" s="8"/>
      <c r="R706" s="8"/>
      <c r="S706" s="8"/>
      <c r="T706" s="8"/>
      <c r="U706" s="8"/>
      <c r="V706" s="8"/>
      <c r="Y706" s="8"/>
      <c r="Z706" s="8"/>
    </row>
    <row r="707" ht="15.75" customHeight="1">
      <c r="Q707" s="8"/>
      <c r="R707" s="8"/>
      <c r="S707" s="8"/>
      <c r="T707" s="8"/>
      <c r="U707" s="8"/>
      <c r="V707" s="8"/>
      <c r="Y707" s="8"/>
      <c r="Z707" s="8"/>
    </row>
    <row r="708" ht="15.75" customHeight="1">
      <c r="Q708" s="8"/>
      <c r="R708" s="8"/>
      <c r="S708" s="8"/>
      <c r="T708" s="8"/>
      <c r="U708" s="8"/>
      <c r="V708" s="8"/>
      <c r="Y708" s="8"/>
      <c r="Z708" s="8"/>
    </row>
    <row r="709" ht="15.75" customHeight="1">
      <c r="Q709" s="8"/>
      <c r="R709" s="8"/>
      <c r="S709" s="8"/>
      <c r="T709" s="8"/>
      <c r="U709" s="8"/>
      <c r="V709" s="8"/>
      <c r="Y709" s="8"/>
      <c r="Z709" s="8"/>
    </row>
    <row r="710" ht="15.75" customHeight="1">
      <c r="Q710" s="8"/>
      <c r="R710" s="8"/>
      <c r="S710" s="8"/>
      <c r="T710" s="8"/>
      <c r="U710" s="8"/>
      <c r="V710" s="8"/>
      <c r="Y710" s="8"/>
      <c r="Z710" s="8"/>
    </row>
    <row r="711" ht="15.75" customHeight="1">
      <c r="Q711" s="8"/>
      <c r="R711" s="8"/>
      <c r="S711" s="8"/>
      <c r="T711" s="8"/>
      <c r="U711" s="8"/>
      <c r="V711" s="8"/>
      <c r="Y711" s="8"/>
      <c r="Z711" s="8"/>
    </row>
    <row r="712" ht="15.75" customHeight="1">
      <c r="Q712" s="8"/>
      <c r="R712" s="8"/>
      <c r="S712" s="8"/>
      <c r="T712" s="8"/>
      <c r="U712" s="8"/>
      <c r="V712" s="8"/>
      <c r="Y712" s="8"/>
      <c r="Z712" s="8"/>
    </row>
    <row r="713" ht="15.75" customHeight="1">
      <c r="Q713" s="8"/>
      <c r="R713" s="8"/>
      <c r="S713" s="8"/>
      <c r="T713" s="8"/>
      <c r="U713" s="8"/>
      <c r="V713" s="8"/>
      <c r="Y713" s="8"/>
      <c r="Z713" s="8"/>
    </row>
    <row r="714" ht="15.75" customHeight="1">
      <c r="Q714" s="8"/>
      <c r="R714" s="8"/>
      <c r="S714" s="8"/>
      <c r="T714" s="8"/>
      <c r="U714" s="8"/>
      <c r="V714" s="8"/>
      <c r="Y714" s="8"/>
      <c r="Z714" s="8"/>
    </row>
    <row r="715" ht="15.75" customHeight="1">
      <c r="Q715" s="8"/>
      <c r="R715" s="8"/>
      <c r="S715" s="8"/>
      <c r="T715" s="8"/>
      <c r="U715" s="8"/>
      <c r="V715" s="8"/>
      <c r="Y715" s="8"/>
      <c r="Z715" s="8"/>
    </row>
    <row r="716" ht="15.75" customHeight="1">
      <c r="Q716" s="8"/>
      <c r="R716" s="8"/>
      <c r="S716" s="8"/>
      <c r="T716" s="8"/>
      <c r="U716" s="8"/>
      <c r="V716" s="8"/>
      <c r="Y716" s="8"/>
      <c r="Z716" s="8"/>
    </row>
    <row r="717" ht="15.75" customHeight="1">
      <c r="Q717" s="8"/>
      <c r="R717" s="8"/>
      <c r="S717" s="8"/>
      <c r="T717" s="8"/>
      <c r="U717" s="8"/>
      <c r="V717" s="8"/>
      <c r="Y717" s="8"/>
      <c r="Z717" s="8"/>
    </row>
    <row r="718" ht="15.75" customHeight="1">
      <c r="Q718" s="8"/>
      <c r="R718" s="8"/>
      <c r="S718" s="8"/>
      <c r="T718" s="8"/>
      <c r="U718" s="8"/>
      <c r="V718" s="8"/>
      <c r="Y718" s="8"/>
      <c r="Z718" s="8"/>
    </row>
    <row r="719" ht="15.75" customHeight="1">
      <c r="Q719" s="8"/>
      <c r="R719" s="8"/>
      <c r="S719" s="8"/>
      <c r="T719" s="8"/>
      <c r="U719" s="8"/>
      <c r="V719" s="8"/>
      <c r="Y719" s="8"/>
      <c r="Z719" s="8"/>
    </row>
    <row r="720" ht="15.75" customHeight="1">
      <c r="Q720" s="8"/>
      <c r="R720" s="8"/>
      <c r="S720" s="8"/>
      <c r="T720" s="8"/>
      <c r="U720" s="8"/>
      <c r="V720" s="8"/>
      <c r="Y720" s="8"/>
      <c r="Z720" s="8"/>
    </row>
    <row r="721" ht="15.75" customHeight="1">
      <c r="Q721" s="8"/>
      <c r="R721" s="8"/>
      <c r="S721" s="8"/>
      <c r="T721" s="8"/>
      <c r="U721" s="8"/>
      <c r="V721" s="8"/>
      <c r="Y721" s="8"/>
      <c r="Z721" s="8"/>
    </row>
    <row r="722" ht="15.75" customHeight="1">
      <c r="Q722" s="8"/>
      <c r="R722" s="8"/>
      <c r="S722" s="8"/>
      <c r="T722" s="8"/>
      <c r="U722" s="8"/>
      <c r="V722" s="8"/>
      <c r="Y722" s="8"/>
      <c r="Z722" s="8"/>
    </row>
    <row r="723" ht="15.75" customHeight="1">
      <c r="Q723" s="8"/>
      <c r="R723" s="8"/>
      <c r="S723" s="8"/>
      <c r="T723" s="8"/>
      <c r="U723" s="8"/>
      <c r="V723" s="8"/>
      <c r="Y723" s="8"/>
      <c r="Z723" s="8"/>
    </row>
    <row r="724" ht="15.75" customHeight="1">
      <c r="Q724" s="8"/>
      <c r="R724" s="8"/>
      <c r="S724" s="8"/>
      <c r="T724" s="8"/>
      <c r="U724" s="8"/>
      <c r="V724" s="8"/>
      <c r="Y724" s="8"/>
      <c r="Z724" s="8"/>
    </row>
    <row r="725" ht="15.75" customHeight="1">
      <c r="Q725" s="8"/>
      <c r="R725" s="8"/>
      <c r="S725" s="8"/>
      <c r="T725" s="8"/>
      <c r="U725" s="8"/>
      <c r="V725" s="8"/>
      <c r="Y725" s="8"/>
      <c r="Z725" s="8"/>
    </row>
    <row r="726" ht="15.75" customHeight="1">
      <c r="Q726" s="8"/>
      <c r="R726" s="8"/>
      <c r="S726" s="8"/>
      <c r="T726" s="8"/>
      <c r="U726" s="8"/>
      <c r="V726" s="8"/>
      <c r="Y726" s="8"/>
      <c r="Z726" s="8"/>
    </row>
    <row r="727" ht="15.75" customHeight="1">
      <c r="Q727" s="8"/>
      <c r="R727" s="8"/>
      <c r="S727" s="8"/>
      <c r="T727" s="8"/>
      <c r="U727" s="8"/>
      <c r="V727" s="8"/>
      <c r="Y727" s="8"/>
      <c r="Z727" s="8"/>
    </row>
    <row r="728" ht="15.75" customHeight="1">
      <c r="Q728" s="8"/>
      <c r="R728" s="8"/>
      <c r="S728" s="8"/>
      <c r="T728" s="8"/>
      <c r="U728" s="8"/>
      <c r="V728" s="8"/>
      <c r="Y728" s="8"/>
      <c r="Z728" s="8"/>
    </row>
    <row r="729" ht="15.75" customHeight="1">
      <c r="Q729" s="8"/>
      <c r="R729" s="8"/>
      <c r="S729" s="8"/>
      <c r="T729" s="8"/>
      <c r="U729" s="8"/>
      <c r="V729" s="8"/>
      <c r="Y729" s="8"/>
      <c r="Z729" s="8"/>
    </row>
    <row r="730" ht="15.75" customHeight="1">
      <c r="Q730" s="8"/>
      <c r="R730" s="8"/>
      <c r="S730" s="8"/>
      <c r="T730" s="8"/>
      <c r="U730" s="8"/>
      <c r="V730" s="8"/>
      <c r="Y730" s="8"/>
      <c r="Z730" s="8"/>
    </row>
    <row r="731" ht="15.75" customHeight="1">
      <c r="Q731" s="8"/>
      <c r="R731" s="8"/>
      <c r="S731" s="8"/>
      <c r="T731" s="8"/>
      <c r="U731" s="8"/>
      <c r="V731" s="8"/>
      <c r="Y731" s="8"/>
      <c r="Z731" s="8"/>
    </row>
    <row r="732" ht="15.75" customHeight="1">
      <c r="Q732" s="8"/>
      <c r="R732" s="8"/>
      <c r="S732" s="8"/>
      <c r="T732" s="8"/>
      <c r="U732" s="8"/>
      <c r="V732" s="8"/>
      <c r="Y732" s="8"/>
      <c r="Z732" s="8"/>
    </row>
    <row r="733" ht="15.75" customHeight="1">
      <c r="Q733" s="8"/>
      <c r="R733" s="8"/>
      <c r="S733" s="8"/>
      <c r="T733" s="8"/>
      <c r="U733" s="8"/>
      <c r="V733" s="8"/>
      <c r="Y733" s="8"/>
      <c r="Z733" s="8"/>
    </row>
    <row r="734" ht="15.75" customHeight="1">
      <c r="Q734" s="8"/>
      <c r="R734" s="8"/>
      <c r="S734" s="8"/>
      <c r="T734" s="8"/>
      <c r="U734" s="8"/>
      <c r="V734" s="8"/>
      <c r="Y734" s="8"/>
      <c r="Z734" s="8"/>
    </row>
    <row r="735" ht="15.75" customHeight="1">
      <c r="Q735" s="8"/>
      <c r="R735" s="8"/>
      <c r="S735" s="8"/>
      <c r="T735" s="8"/>
      <c r="U735" s="8"/>
      <c r="V735" s="8"/>
      <c r="Y735" s="8"/>
      <c r="Z735" s="8"/>
    </row>
    <row r="736" ht="15.75" customHeight="1">
      <c r="Q736" s="8"/>
      <c r="R736" s="8"/>
      <c r="S736" s="8"/>
      <c r="T736" s="8"/>
      <c r="U736" s="8"/>
      <c r="V736" s="8"/>
      <c r="Y736" s="8"/>
      <c r="Z736" s="8"/>
    </row>
    <row r="737" ht="15.75" customHeight="1">
      <c r="Q737" s="8"/>
      <c r="R737" s="8"/>
      <c r="S737" s="8"/>
      <c r="T737" s="8"/>
      <c r="U737" s="8"/>
      <c r="V737" s="8"/>
      <c r="Y737" s="8"/>
      <c r="Z737" s="8"/>
    </row>
    <row r="738" ht="15.75" customHeight="1">
      <c r="Q738" s="8"/>
      <c r="R738" s="8"/>
      <c r="S738" s="8"/>
      <c r="T738" s="8"/>
      <c r="U738" s="8"/>
      <c r="V738" s="8"/>
      <c r="Y738" s="8"/>
      <c r="Z738" s="8"/>
    </row>
    <row r="739" ht="15.75" customHeight="1">
      <c r="Q739" s="8"/>
      <c r="R739" s="8"/>
      <c r="S739" s="8"/>
      <c r="T739" s="8"/>
      <c r="U739" s="8"/>
      <c r="V739" s="8"/>
      <c r="Y739" s="8"/>
      <c r="Z739" s="8"/>
    </row>
    <row r="740" ht="15.75" customHeight="1">
      <c r="Q740" s="8"/>
      <c r="R740" s="8"/>
      <c r="S740" s="8"/>
      <c r="T740" s="8"/>
      <c r="U740" s="8"/>
      <c r="V740" s="8"/>
      <c r="Y740" s="8"/>
      <c r="Z740" s="8"/>
    </row>
    <row r="741" ht="15.75" customHeight="1">
      <c r="Q741" s="8"/>
      <c r="R741" s="8"/>
      <c r="S741" s="8"/>
      <c r="T741" s="8"/>
      <c r="U741" s="8"/>
      <c r="V741" s="8"/>
      <c r="Y741" s="8"/>
      <c r="Z741" s="8"/>
    </row>
    <row r="742" ht="15.75" customHeight="1">
      <c r="Q742" s="8"/>
      <c r="R742" s="8"/>
      <c r="S742" s="8"/>
      <c r="T742" s="8"/>
      <c r="U742" s="8"/>
      <c r="V742" s="8"/>
      <c r="Y742" s="8"/>
      <c r="Z742" s="8"/>
    </row>
    <row r="743" ht="15.75" customHeight="1">
      <c r="Q743" s="8"/>
      <c r="R743" s="8"/>
      <c r="S743" s="8"/>
      <c r="T743" s="8"/>
      <c r="U743" s="8"/>
      <c r="V743" s="8"/>
      <c r="Y743" s="8"/>
      <c r="Z743" s="8"/>
    </row>
    <row r="744" ht="15.75" customHeight="1">
      <c r="Q744" s="8"/>
      <c r="R744" s="8"/>
      <c r="S744" s="8"/>
      <c r="T744" s="8"/>
      <c r="U744" s="8"/>
      <c r="V744" s="8"/>
      <c r="Y744" s="8"/>
      <c r="Z744" s="8"/>
    </row>
    <row r="745" ht="15.75" customHeight="1">
      <c r="Q745" s="8"/>
      <c r="R745" s="8"/>
      <c r="S745" s="8"/>
      <c r="T745" s="8"/>
      <c r="U745" s="8"/>
      <c r="V745" s="8"/>
      <c r="Y745" s="8"/>
      <c r="Z745" s="8"/>
    </row>
    <row r="746" ht="15.75" customHeight="1">
      <c r="Q746" s="8"/>
      <c r="R746" s="8"/>
      <c r="S746" s="8"/>
      <c r="T746" s="8"/>
      <c r="U746" s="8"/>
      <c r="V746" s="8"/>
      <c r="Y746" s="8"/>
      <c r="Z746" s="8"/>
    </row>
    <row r="747" ht="15.75" customHeight="1">
      <c r="Q747" s="8"/>
      <c r="R747" s="8"/>
      <c r="S747" s="8"/>
      <c r="T747" s="8"/>
      <c r="U747" s="8"/>
      <c r="V747" s="8"/>
      <c r="Y747" s="8"/>
      <c r="Z747" s="8"/>
    </row>
    <row r="748" ht="15.75" customHeight="1">
      <c r="Q748" s="8"/>
      <c r="R748" s="8"/>
      <c r="S748" s="8"/>
      <c r="T748" s="8"/>
      <c r="U748" s="8"/>
      <c r="V748" s="8"/>
      <c r="Y748" s="8"/>
      <c r="Z748" s="8"/>
    </row>
    <row r="749" ht="15.75" customHeight="1">
      <c r="Q749" s="8"/>
      <c r="R749" s="8"/>
      <c r="S749" s="8"/>
      <c r="T749" s="8"/>
      <c r="U749" s="8"/>
      <c r="V749" s="8"/>
      <c r="Y749" s="8"/>
      <c r="Z749" s="8"/>
    </row>
    <row r="750" ht="15.75" customHeight="1">
      <c r="Q750" s="8"/>
      <c r="R750" s="8"/>
      <c r="S750" s="8"/>
      <c r="T750" s="8"/>
      <c r="U750" s="8"/>
      <c r="V750" s="8"/>
      <c r="Y750" s="8"/>
      <c r="Z750" s="8"/>
    </row>
    <row r="751" ht="15.75" customHeight="1">
      <c r="Q751" s="8"/>
      <c r="R751" s="8"/>
      <c r="S751" s="8"/>
      <c r="T751" s="8"/>
      <c r="U751" s="8"/>
      <c r="V751" s="8"/>
      <c r="Y751" s="8"/>
      <c r="Z751" s="8"/>
    </row>
    <row r="752" ht="15.75" customHeight="1">
      <c r="Q752" s="8"/>
      <c r="R752" s="8"/>
      <c r="S752" s="8"/>
      <c r="T752" s="8"/>
      <c r="U752" s="8"/>
      <c r="V752" s="8"/>
      <c r="Y752" s="8"/>
      <c r="Z752" s="8"/>
    </row>
    <row r="753" ht="15.75" customHeight="1">
      <c r="Q753" s="8"/>
      <c r="R753" s="8"/>
      <c r="S753" s="8"/>
      <c r="T753" s="8"/>
      <c r="U753" s="8"/>
      <c r="V753" s="8"/>
      <c r="Y753" s="8"/>
      <c r="Z753" s="8"/>
    </row>
    <row r="754" ht="15.75" customHeight="1">
      <c r="Q754" s="8"/>
      <c r="R754" s="8"/>
      <c r="S754" s="8"/>
      <c r="T754" s="8"/>
      <c r="U754" s="8"/>
      <c r="V754" s="8"/>
      <c r="Y754" s="8"/>
      <c r="Z754" s="8"/>
    </row>
    <row r="755" ht="15.75" customHeight="1">
      <c r="Q755" s="8"/>
      <c r="R755" s="8"/>
      <c r="S755" s="8"/>
      <c r="T755" s="8"/>
      <c r="U755" s="8"/>
      <c r="V755" s="8"/>
      <c r="Y755" s="8"/>
      <c r="Z755" s="8"/>
    </row>
    <row r="756" ht="15.75" customHeight="1">
      <c r="Q756" s="8"/>
      <c r="R756" s="8"/>
      <c r="S756" s="8"/>
      <c r="T756" s="8"/>
      <c r="U756" s="8"/>
      <c r="V756" s="8"/>
      <c r="Y756" s="8"/>
      <c r="Z756" s="8"/>
    </row>
    <row r="757" ht="15.75" customHeight="1">
      <c r="Q757" s="8"/>
      <c r="R757" s="8"/>
      <c r="S757" s="8"/>
      <c r="T757" s="8"/>
      <c r="U757" s="8"/>
      <c r="V757" s="8"/>
      <c r="Y757" s="8"/>
      <c r="Z757" s="8"/>
    </row>
    <row r="758" ht="15.75" customHeight="1">
      <c r="Q758" s="8"/>
      <c r="R758" s="8"/>
      <c r="S758" s="8"/>
      <c r="T758" s="8"/>
      <c r="U758" s="8"/>
      <c r="V758" s="8"/>
      <c r="Y758" s="8"/>
      <c r="Z758" s="8"/>
    </row>
    <row r="759" ht="15.75" customHeight="1">
      <c r="Q759" s="8"/>
      <c r="R759" s="8"/>
      <c r="S759" s="8"/>
      <c r="T759" s="8"/>
      <c r="U759" s="8"/>
      <c r="V759" s="8"/>
      <c r="Y759" s="8"/>
      <c r="Z759" s="8"/>
    </row>
    <row r="760" ht="15.75" customHeight="1">
      <c r="Q760" s="8"/>
      <c r="R760" s="8"/>
      <c r="S760" s="8"/>
      <c r="T760" s="8"/>
      <c r="U760" s="8"/>
      <c r="V760" s="8"/>
      <c r="Y760" s="8"/>
      <c r="Z760" s="8"/>
    </row>
    <row r="761" ht="15.75" customHeight="1">
      <c r="Q761" s="8"/>
      <c r="R761" s="8"/>
      <c r="S761" s="8"/>
      <c r="T761" s="8"/>
      <c r="U761" s="8"/>
      <c r="V761" s="8"/>
      <c r="Y761" s="8"/>
      <c r="Z761" s="8"/>
    </row>
    <row r="762" ht="15.75" customHeight="1">
      <c r="Q762" s="8"/>
      <c r="R762" s="8"/>
      <c r="S762" s="8"/>
      <c r="T762" s="8"/>
      <c r="U762" s="8"/>
      <c r="V762" s="8"/>
      <c r="Y762" s="8"/>
      <c r="Z762" s="8"/>
    </row>
    <row r="763" ht="15.75" customHeight="1">
      <c r="Q763" s="8"/>
      <c r="R763" s="8"/>
      <c r="S763" s="8"/>
      <c r="T763" s="8"/>
      <c r="U763" s="8"/>
      <c r="V763" s="8"/>
      <c r="Y763" s="8"/>
      <c r="Z763" s="8"/>
    </row>
    <row r="764" ht="15.75" customHeight="1">
      <c r="Q764" s="8"/>
      <c r="R764" s="8"/>
      <c r="S764" s="8"/>
      <c r="T764" s="8"/>
      <c r="U764" s="8"/>
      <c r="V764" s="8"/>
      <c r="Y764" s="8"/>
      <c r="Z764" s="8"/>
    </row>
    <row r="765" ht="15.75" customHeight="1">
      <c r="Q765" s="8"/>
      <c r="R765" s="8"/>
      <c r="S765" s="8"/>
      <c r="T765" s="8"/>
      <c r="U765" s="8"/>
      <c r="V765" s="8"/>
      <c r="Y765" s="8"/>
      <c r="Z765" s="8"/>
    </row>
    <row r="766" ht="15.75" customHeight="1">
      <c r="Q766" s="8"/>
      <c r="R766" s="8"/>
      <c r="S766" s="8"/>
      <c r="T766" s="8"/>
      <c r="U766" s="8"/>
      <c r="V766" s="8"/>
      <c r="Y766" s="8"/>
      <c r="Z766" s="8"/>
    </row>
    <row r="767" ht="15.75" customHeight="1">
      <c r="Q767" s="8"/>
      <c r="R767" s="8"/>
      <c r="S767" s="8"/>
      <c r="T767" s="8"/>
      <c r="U767" s="8"/>
      <c r="V767" s="8"/>
      <c r="Y767" s="8"/>
      <c r="Z767" s="8"/>
    </row>
    <row r="768" ht="15.75" customHeight="1">
      <c r="Q768" s="8"/>
      <c r="R768" s="8"/>
      <c r="S768" s="8"/>
      <c r="T768" s="8"/>
      <c r="U768" s="8"/>
      <c r="V768" s="8"/>
      <c r="Y768" s="8"/>
      <c r="Z768" s="8"/>
    </row>
    <row r="769" ht="15.75" customHeight="1">
      <c r="Q769" s="8"/>
      <c r="R769" s="8"/>
      <c r="S769" s="8"/>
      <c r="T769" s="8"/>
      <c r="U769" s="8"/>
      <c r="V769" s="8"/>
      <c r="Y769" s="8"/>
      <c r="Z769" s="8"/>
    </row>
    <row r="770" ht="15.75" customHeight="1">
      <c r="Q770" s="8"/>
      <c r="R770" s="8"/>
      <c r="S770" s="8"/>
      <c r="T770" s="8"/>
      <c r="U770" s="8"/>
      <c r="V770" s="8"/>
      <c r="Y770" s="8"/>
      <c r="Z770" s="8"/>
    </row>
    <row r="771" ht="15.75" customHeight="1">
      <c r="Q771" s="8"/>
      <c r="R771" s="8"/>
      <c r="S771" s="8"/>
      <c r="T771" s="8"/>
      <c r="U771" s="8"/>
      <c r="V771" s="8"/>
      <c r="Y771" s="8"/>
      <c r="Z771" s="8"/>
    </row>
    <row r="772" ht="15.75" customHeight="1">
      <c r="Q772" s="8"/>
      <c r="R772" s="8"/>
      <c r="S772" s="8"/>
      <c r="T772" s="8"/>
      <c r="U772" s="8"/>
      <c r="V772" s="8"/>
      <c r="Y772" s="8"/>
      <c r="Z772" s="8"/>
    </row>
    <row r="773" ht="15.75" customHeight="1">
      <c r="Q773" s="8"/>
      <c r="R773" s="8"/>
      <c r="S773" s="8"/>
      <c r="T773" s="8"/>
      <c r="U773" s="8"/>
      <c r="V773" s="8"/>
      <c r="Y773" s="8"/>
      <c r="Z773" s="8"/>
    </row>
    <row r="774" ht="15.75" customHeight="1">
      <c r="Q774" s="8"/>
      <c r="R774" s="8"/>
      <c r="S774" s="8"/>
      <c r="T774" s="8"/>
      <c r="U774" s="8"/>
      <c r="V774" s="8"/>
      <c r="Y774" s="8"/>
      <c r="Z774" s="8"/>
    </row>
    <row r="775" ht="15.75" customHeight="1">
      <c r="Q775" s="8"/>
      <c r="R775" s="8"/>
      <c r="S775" s="8"/>
      <c r="T775" s="8"/>
      <c r="U775" s="8"/>
      <c r="V775" s="8"/>
      <c r="Y775" s="8"/>
      <c r="Z775" s="8"/>
    </row>
    <row r="776" ht="15.75" customHeight="1">
      <c r="Q776" s="8"/>
      <c r="R776" s="8"/>
      <c r="S776" s="8"/>
      <c r="T776" s="8"/>
      <c r="U776" s="8"/>
      <c r="V776" s="8"/>
      <c r="Y776" s="8"/>
      <c r="Z776" s="8"/>
    </row>
    <row r="777" ht="15.75" customHeight="1">
      <c r="Q777" s="8"/>
      <c r="R777" s="8"/>
      <c r="S777" s="8"/>
      <c r="T777" s="8"/>
      <c r="U777" s="8"/>
      <c r="V777" s="8"/>
      <c r="Y777" s="8"/>
      <c r="Z777" s="8"/>
    </row>
    <row r="778" ht="15.75" customHeight="1">
      <c r="Q778" s="8"/>
      <c r="R778" s="8"/>
      <c r="S778" s="8"/>
      <c r="T778" s="8"/>
      <c r="U778" s="8"/>
      <c r="V778" s="8"/>
      <c r="Y778" s="8"/>
      <c r="Z778" s="8"/>
    </row>
    <row r="779" ht="15.75" customHeight="1">
      <c r="Q779" s="8"/>
      <c r="R779" s="8"/>
      <c r="S779" s="8"/>
      <c r="T779" s="8"/>
      <c r="U779" s="8"/>
      <c r="V779" s="8"/>
      <c r="Y779" s="8"/>
      <c r="Z779" s="8"/>
    </row>
    <row r="780" ht="15.75" customHeight="1">
      <c r="Q780" s="8"/>
      <c r="R780" s="8"/>
      <c r="S780" s="8"/>
      <c r="T780" s="8"/>
      <c r="U780" s="8"/>
      <c r="V780" s="8"/>
      <c r="Y780" s="8"/>
      <c r="Z780" s="8"/>
    </row>
    <row r="781" ht="15.75" customHeight="1">
      <c r="Q781" s="8"/>
      <c r="R781" s="8"/>
      <c r="S781" s="8"/>
      <c r="T781" s="8"/>
      <c r="U781" s="8"/>
      <c r="V781" s="8"/>
      <c r="Y781" s="8"/>
      <c r="Z781" s="8"/>
    </row>
    <row r="782" ht="15.75" customHeight="1">
      <c r="Q782" s="8"/>
      <c r="R782" s="8"/>
      <c r="S782" s="8"/>
      <c r="T782" s="8"/>
      <c r="U782" s="8"/>
      <c r="V782" s="8"/>
      <c r="Y782" s="8"/>
      <c r="Z782" s="8"/>
    </row>
    <row r="783" ht="15.75" customHeight="1">
      <c r="Q783" s="8"/>
      <c r="R783" s="8"/>
      <c r="S783" s="8"/>
      <c r="T783" s="8"/>
      <c r="U783" s="8"/>
      <c r="V783" s="8"/>
      <c r="Y783" s="8"/>
      <c r="Z783" s="8"/>
    </row>
    <row r="784" ht="15.75" customHeight="1">
      <c r="Q784" s="8"/>
      <c r="R784" s="8"/>
      <c r="S784" s="8"/>
      <c r="T784" s="8"/>
      <c r="U784" s="8"/>
      <c r="V784" s="8"/>
      <c r="Y784" s="8"/>
      <c r="Z784" s="8"/>
    </row>
    <row r="785" ht="15.75" customHeight="1">
      <c r="Q785" s="8"/>
      <c r="R785" s="8"/>
      <c r="S785" s="8"/>
      <c r="T785" s="8"/>
      <c r="U785" s="8"/>
      <c r="V785" s="8"/>
      <c r="Y785" s="8"/>
      <c r="Z785" s="8"/>
    </row>
    <row r="786" ht="15.75" customHeight="1">
      <c r="Q786" s="8"/>
      <c r="R786" s="8"/>
      <c r="S786" s="8"/>
      <c r="T786" s="8"/>
      <c r="U786" s="8"/>
      <c r="V786" s="8"/>
      <c r="Y786" s="8"/>
      <c r="Z786" s="8"/>
    </row>
    <row r="787" ht="15.75" customHeight="1">
      <c r="Q787" s="8"/>
      <c r="R787" s="8"/>
      <c r="S787" s="8"/>
      <c r="T787" s="8"/>
      <c r="U787" s="8"/>
      <c r="V787" s="8"/>
      <c r="Y787" s="8"/>
      <c r="Z787" s="8"/>
    </row>
    <row r="788" ht="15.75" customHeight="1">
      <c r="Q788" s="8"/>
      <c r="R788" s="8"/>
      <c r="S788" s="8"/>
      <c r="T788" s="8"/>
      <c r="U788" s="8"/>
      <c r="V788" s="8"/>
      <c r="Y788" s="8"/>
      <c r="Z788" s="8"/>
    </row>
    <row r="789" ht="15.75" customHeight="1">
      <c r="Q789" s="8"/>
      <c r="R789" s="8"/>
      <c r="S789" s="8"/>
      <c r="T789" s="8"/>
      <c r="U789" s="8"/>
      <c r="V789" s="8"/>
      <c r="Y789" s="8"/>
      <c r="Z789" s="8"/>
    </row>
    <row r="790" ht="15.75" customHeight="1">
      <c r="Q790" s="8"/>
      <c r="R790" s="8"/>
      <c r="S790" s="8"/>
      <c r="T790" s="8"/>
      <c r="U790" s="8"/>
      <c r="V790" s="8"/>
      <c r="Y790" s="8"/>
      <c r="Z790" s="8"/>
    </row>
    <row r="791" ht="15.75" customHeight="1">
      <c r="Q791" s="8"/>
      <c r="R791" s="8"/>
      <c r="S791" s="8"/>
      <c r="T791" s="8"/>
      <c r="U791" s="8"/>
      <c r="V791" s="8"/>
      <c r="Y791" s="8"/>
      <c r="Z791" s="8"/>
    </row>
    <row r="792" ht="15.75" customHeight="1">
      <c r="Q792" s="8"/>
      <c r="R792" s="8"/>
      <c r="S792" s="8"/>
      <c r="T792" s="8"/>
      <c r="U792" s="8"/>
      <c r="V792" s="8"/>
      <c r="Y792" s="8"/>
      <c r="Z792" s="8"/>
    </row>
    <row r="793" ht="15.75" customHeight="1">
      <c r="Q793" s="8"/>
      <c r="R793" s="8"/>
      <c r="S793" s="8"/>
      <c r="T793" s="8"/>
      <c r="U793" s="8"/>
      <c r="V793" s="8"/>
      <c r="Y793" s="8"/>
      <c r="Z793" s="8"/>
    </row>
    <row r="794" ht="15.75" customHeight="1">
      <c r="Q794" s="8"/>
      <c r="R794" s="8"/>
      <c r="S794" s="8"/>
      <c r="T794" s="8"/>
      <c r="U794" s="8"/>
      <c r="V794" s="8"/>
      <c r="Y794" s="8"/>
      <c r="Z794" s="8"/>
    </row>
    <row r="795" ht="15.75" customHeight="1">
      <c r="Q795" s="8"/>
      <c r="R795" s="8"/>
      <c r="S795" s="8"/>
      <c r="T795" s="8"/>
      <c r="U795" s="8"/>
      <c r="V795" s="8"/>
      <c r="Y795" s="8"/>
      <c r="Z795" s="8"/>
    </row>
    <row r="796" ht="15.75" customHeight="1">
      <c r="Q796" s="8"/>
      <c r="R796" s="8"/>
      <c r="S796" s="8"/>
      <c r="T796" s="8"/>
      <c r="U796" s="8"/>
      <c r="V796" s="8"/>
      <c r="Y796" s="8"/>
      <c r="Z796" s="8"/>
    </row>
    <row r="797" ht="15.75" customHeight="1">
      <c r="Q797" s="8"/>
      <c r="R797" s="8"/>
      <c r="S797" s="8"/>
      <c r="T797" s="8"/>
      <c r="U797" s="8"/>
      <c r="V797" s="8"/>
      <c r="Y797" s="8"/>
      <c r="Z797" s="8"/>
    </row>
    <row r="798" ht="15.75" customHeight="1">
      <c r="Q798" s="8"/>
      <c r="R798" s="8"/>
      <c r="S798" s="8"/>
      <c r="T798" s="8"/>
      <c r="U798" s="8"/>
      <c r="V798" s="8"/>
      <c r="Y798" s="8"/>
      <c r="Z798" s="8"/>
    </row>
    <row r="799" ht="15.75" customHeight="1">
      <c r="Q799" s="8"/>
      <c r="R799" s="8"/>
      <c r="S799" s="8"/>
      <c r="T799" s="8"/>
      <c r="U799" s="8"/>
      <c r="V799" s="8"/>
      <c r="Y799" s="8"/>
      <c r="Z799" s="8"/>
    </row>
    <row r="800" ht="15.75" customHeight="1">
      <c r="Q800" s="8"/>
      <c r="R800" s="8"/>
      <c r="S800" s="8"/>
      <c r="T800" s="8"/>
      <c r="U800" s="8"/>
      <c r="V800" s="8"/>
      <c r="Y800" s="8"/>
      <c r="Z800" s="8"/>
    </row>
    <row r="801" ht="15.75" customHeight="1">
      <c r="Q801" s="8"/>
      <c r="R801" s="8"/>
      <c r="S801" s="8"/>
      <c r="T801" s="8"/>
      <c r="U801" s="8"/>
      <c r="V801" s="8"/>
      <c r="Y801" s="8"/>
      <c r="Z801" s="8"/>
    </row>
    <row r="802" ht="15.75" customHeight="1">
      <c r="Q802" s="8"/>
      <c r="R802" s="8"/>
      <c r="S802" s="8"/>
      <c r="T802" s="8"/>
      <c r="U802" s="8"/>
      <c r="V802" s="8"/>
      <c r="Y802" s="8"/>
      <c r="Z802" s="8"/>
    </row>
    <row r="803" ht="15.75" customHeight="1">
      <c r="Q803" s="8"/>
      <c r="R803" s="8"/>
      <c r="S803" s="8"/>
      <c r="T803" s="8"/>
      <c r="U803" s="8"/>
      <c r="V803" s="8"/>
      <c r="Y803" s="8"/>
      <c r="Z803" s="8"/>
    </row>
    <row r="804" ht="15.75" customHeight="1">
      <c r="Q804" s="8"/>
      <c r="R804" s="8"/>
      <c r="S804" s="8"/>
      <c r="T804" s="8"/>
      <c r="U804" s="8"/>
      <c r="V804" s="8"/>
      <c r="Y804" s="8"/>
      <c r="Z804" s="8"/>
    </row>
    <row r="805" ht="15.75" customHeight="1">
      <c r="Q805" s="8"/>
      <c r="R805" s="8"/>
      <c r="S805" s="8"/>
      <c r="T805" s="8"/>
      <c r="U805" s="8"/>
      <c r="V805" s="8"/>
      <c r="Y805" s="8"/>
      <c r="Z805" s="8"/>
    </row>
    <row r="806" ht="15.75" customHeight="1">
      <c r="Q806" s="8"/>
      <c r="R806" s="8"/>
      <c r="S806" s="8"/>
      <c r="T806" s="8"/>
      <c r="U806" s="8"/>
      <c r="V806" s="8"/>
      <c r="Y806" s="8"/>
      <c r="Z806" s="8"/>
    </row>
    <row r="807" ht="15.75" customHeight="1">
      <c r="Q807" s="8"/>
      <c r="R807" s="8"/>
      <c r="S807" s="8"/>
      <c r="T807" s="8"/>
      <c r="U807" s="8"/>
      <c r="V807" s="8"/>
      <c r="Y807" s="8"/>
      <c r="Z807" s="8"/>
    </row>
    <row r="808" ht="15.75" customHeight="1">
      <c r="Q808" s="8"/>
      <c r="R808" s="8"/>
      <c r="S808" s="8"/>
      <c r="T808" s="8"/>
      <c r="U808" s="8"/>
      <c r="V808" s="8"/>
      <c r="Y808" s="8"/>
      <c r="Z808" s="8"/>
    </row>
    <row r="809" ht="15.75" customHeight="1">
      <c r="Q809" s="8"/>
      <c r="R809" s="8"/>
      <c r="S809" s="8"/>
      <c r="T809" s="8"/>
      <c r="U809" s="8"/>
      <c r="V809" s="8"/>
      <c r="Y809" s="8"/>
      <c r="Z809" s="8"/>
    </row>
    <row r="810" ht="15.75" customHeight="1">
      <c r="Q810" s="8"/>
      <c r="R810" s="8"/>
      <c r="S810" s="8"/>
      <c r="T810" s="8"/>
      <c r="U810" s="8"/>
      <c r="V810" s="8"/>
      <c r="Y810" s="8"/>
      <c r="Z810" s="8"/>
    </row>
    <row r="811" ht="15.75" customHeight="1">
      <c r="Q811" s="8"/>
      <c r="R811" s="8"/>
      <c r="S811" s="8"/>
      <c r="T811" s="8"/>
      <c r="U811" s="8"/>
      <c r="V811" s="8"/>
      <c r="Y811" s="8"/>
      <c r="Z811" s="8"/>
    </row>
    <row r="812" ht="15.75" customHeight="1">
      <c r="Q812" s="8"/>
      <c r="R812" s="8"/>
      <c r="S812" s="8"/>
      <c r="T812" s="8"/>
      <c r="U812" s="8"/>
      <c r="V812" s="8"/>
      <c r="Y812" s="8"/>
      <c r="Z812" s="8"/>
    </row>
    <row r="813" ht="15.75" customHeight="1">
      <c r="Q813" s="8"/>
      <c r="R813" s="8"/>
      <c r="S813" s="8"/>
      <c r="T813" s="8"/>
      <c r="U813" s="8"/>
      <c r="V813" s="8"/>
      <c r="Y813" s="8"/>
      <c r="Z813" s="8"/>
    </row>
    <row r="814" ht="15.75" customHeight="1">
      <c r="Q814" s="8"/>
      <c r="R814" s="8"/>
      <c r="S814" s="8"/>
      <c r="T814" s="8"/>
      <c r="U814" s="8"/>
      <c r="V814" s="8"/>
      <c r="Y814" s="8"/>
      <c r="Z814" s="8"/>
    </row>
    <row r="815" ht="15.75" customHeight="1">
      <c r="Q815" s="8"/>
      <c r="R815" s="8"/>
      <c r="S815" s="8"/>
      <c r="T815" s="8"/>
      <c r="U815" s="8"/>
      <c r="V815" s="8"/>
      <c r="Y815" s="8"/>
      <c r="Z815" s="8"/>
    </row>
    <row r="816" ht="15.75" customHeight="1">
      <c r="Q816" s="8"/>
      <c r="R816" s="8"/>
      <c r="S816" s="8"/>
      <c r="T816" s="8"/>
      <c r="U816" s="8"/>
      <c r="V816" s="8"/>
      <c r="Y816" s="8"/>
      <c r="Z816" s="8"/>
    </row>
    <row r="817" ht="15.75" customHeight="1">
      <c r="Q817" s="8"/>
      <c r="R817" s="8"/>
      <c r="S817" s="8"/>
      <c r="T817" s="8"/>
      <c r="U817" s="8"/>
      <c r="V817" s="8"/>
      <c r="Y817" s="8"/>
      <c r="Z817" s="8"/>
    </row>
    <row r="818" ht="15.75" customHeight="1">
      <c r="Q818" s="8"/>
      <c r="R818" s="8"/>
      <c r="S818" s="8"/>
      <c r="T818" s="8"/>
      <c r="U818" s="8"/>
      <c r="V818" s="8"/>
      <c r="Y818" s="8"/>
      <c r="Z818" s="8"/>
    </row>
    <row r="819" ht="15.75" customHeight="1">
      <c r="Q819" s="8"/>
      <c r="R819" s="8"/>
      <c r="S819" s="8"/>
      <c r="T819" s="8"/>
      <c r="U819" s="8"/>
      <c r="V819" s="8"/>
      <c r="Y819" s="8"/>
      <c r="Z819" s="8"/>
    </row>
    <row r="820" ht="15.75" customHeight="1">
      <c r="Q820" s="8"/>
      <c r="R820" s="8"/>
      <c r="S820" s="8"/>
      <c r="T820" s="8"/>
      <c r="U820" s="8"/>
      <c r="V820" s="8"/>
      <c r="Y820" s="8"/>
      <c r="Z820" s="8"/>
    </row>
    <row r="821" ht="15.75" customHeight="1">
      <c r="Q821" s="8"/>
      <c r="R821" s="8"/>
      <c r="S821" s="8"/>
      <c r="T821" s="8"/>
      <c r="U821" s="8"/>
      <c r="V821" s="8"/>
      <c r="Y821" s="8"/>
      <c r="Z821" s="8"/>
    </row>
    <row r="822" ht="15.75" customHeight="1">
      <c r="Q822" s="8"/>
      <c r="R822" s="8"/>
      <c r="S822" s="8"/>
      <c r="T822" s="8"/>
      <c r="U822" s="8"/>
      <c r="V822" s="8"/>
      <c r="Y822" s="8"/>
      <c r="Z822" s="8"/>
    </row>
    <row r="823" ht="15.75" customHeight="1">
      <c r="Q823" s="8"/>
      <c r="R823" s="8"/>
      <c r="S823" s="8"/>
      <c r="T823" s="8"/>
      <c r="U823" s="8"/>
      <c r="V823" s="8"/>
      <c r="Y823" s="8"/>
      <c r="Z823" s="8"/>
    </row>
    <row r="824" ht="15.75" customHeight="1">
      <c r="Q824" s="8"/>
      <c r="R824" s="8"/>
      <c r="S824" s="8"/>
      <c r="T824" s="8"/>
      <c r="U824" s="8"/>
      <c r="V824" s="8"/>
      <c r="Y824" s="8"/>
      <c r="Z824" s="8"/>
    </row>
    <row r="825" ht="15.75" customHeight="1">
      <c r="Q825" s="8"/>
      <c r="R825" s="8"/>
      <c r="S825" s="8"/>
      <c r="T825" s="8"/>
      <c r="U825" s="8"/>
      <c r="V825" s="8"/>
      <c r="Y825" s="8"/>
      <c r="Z825" s="8"/>
    </row>
    <row r="826" ht="15.75" customHeight="1">
      <c r="Q826" s="8"/>
      <c r="R826" s="8"/>
      <c r="S826" s="8"/>
      <c r="T826" s="8"/>
      <c r="U826" s="8"/>
      <c r="V826" s="8"/>
      <c r="Y826" s="8"/>
      <c r="Z826" s="8"/>
    </row>
    <row r="827" ht="15.75" customHeight="1">
      <c r="Q827" s="8"/>
      <c r="R827" s="8"/>
      <c r="S827" s="8"/>
      <c r="T827" s="8"/>
      <c r="U827" s="8"/>
      <c r="V827" s="8"/>
      <c r="Y827" s="8"/>
      <c r="Z827" s="8"/>
    </row>
    <row r="828" ht="15.75" customHeight="1">
      <c r="Q828" s="8"/>
      <c r="R828" s="8"/>
      <c r="S828" s="8"/>
      <c r="T828" s="8"/>
      <c r="U828" s="8"/>
      <c r="V828" s="8"/>
      <c r="Y828" s="8"/>
      <c r="Z828" s="8"/>
    </row>
    <row r="829" ht="15.75" customHeight="1">
      <c r="Q829" s="8"/>
      <c r="R829" s="8"/>
      <c r="S829" s="8"/>
      <c r="T829" s="8"/>
      <c r="U829" s="8"/>
      <c r="V829" s="8"/>
      <c r="Y829" s="8"/>
      <c r="Z829" s="8"/>
    </row>
    <row r="830" ht="15.75" customHeight="1">
      <c r="Q830" s="8"/>
      <c r="R830" s="8"/>
      <c r="S830" s="8"/>
      <c r="T830" s="8"/>
      <c r="U830" s="8"/>
      <c r="V830" s="8"/>
      <c r="Y830" s="8"/>
      <c r="Z830" s="8"/>
    </row>
    <row r="831" ht="15.75" customHeight="1">
      <c r="Q831" s="8"/>
      <c r="R831" s="8"/>
      <c r="S831" s="8"/>
      <c r="T831" s="8"/>
      <c r="U831" s="8"/>
      <c r="V831" s="8"/>
      <c r="Y831" s="8"/>
      <c r="Z831" s="8"/>
    </row>
    <row r="832" ht="15.75" customHeight="1">
      <c r="Q832" s="8"/>
      <c r="R832" s="8"/>
      <c r="S832" s="8"/>
      <c r="T832" s="8"/>
      <c r="U832" s="8"/>
      <c r="V832" s="8"/>
      <c r="Y832" s="8"/>
      <c r="Z832" s="8"/>
    </row>
    <row r="833" ht="15.75" customHeight="1">
      <c r="Q833" s="8"/>
      <c r="R833" s="8"/>
      <c r="S833" s="8"/>
      <c r="T833" s="8"/>
      <c r="U833" s="8"/>
      <c r="V833" s="8"/>
      <c r="Y833" s="8"/>
      <c r="Z833" s="8"/>
    </row>
    <row r="834" ht="15.75" customHeight="1">
      <c r="Q834" s="8"/>
      <c r="R834" s="8"/>
      <c r="S834" s="8"/>
      <c r="T834" s="8"/>
      <c r="U834" s="8"/>
      <c r="V834" s="8"/>
      <c r="Y834" s="8"/>
      <c r="Z834" s="8"/>
    </row>
    <row r="835" ht="15.75" customHeight="1">
      <c r="Q835" s="8"/>
      <c r="R835" s="8"/>
      <c r="S835" s="8"/>
      <c r="T835" s="8"/>
      <c r="U835" s="8"/>
      <c r="V835" s="8"/>
      <c r="Y835" s="8"/>
      <c r="Z835" s="8"/>
    </row>
    <row r="836" ht="15.75" customHeight="1">
      <c r="Q836" s="8"/>
      <c r="R836" s="8"/>
      <c r="S836" s="8"/>
      <c r="T836" s="8"/>
      <c r="U836" s="8"/>
      <c r="V836" s="8"/>
      <c r="Y836" s="8"/>
      <c r="Z836" s="8"/>
    </row>
    <row r="837" ht="15.75" customHeight="1">
      <c r="Q837" s="8"/>
      <c r="R837" s="8"/>
      <c r="S837" s="8"/>
      <c r="T837" s="8"/>
      <c r="U837" s="8"/>
      <c r="V837" s="8"/>
      <c r="Y837" s="8"/>
      <c r="Z837" s="8"/>
    </row>
    <row r="838" ht="15.75" customHeight="1">
      <c r="Q838" s="8"/>
      <c r="R838" s="8"/>
      <c r="S838" s="8"/>
      <c r="T838" s="8"/>
      <c r="U838" s="8"/>
      <c r="V838" s="8"/>
      <c r="Y838" s="8"/>
      <c r="Z838" s="8"/>
    </row>
    <row r="839" ht="15.75" customHeight="1">
      <c r="Q839" s="8"/>
      <c r="R839" s="8"/>
      <c r="S839" s="8"/>
      <c r="T839" s="8"/>
      <c r="U839" s="8"/>
      <c r="V839" s="8"/>
      <c r="Y839" s="8"/>
      <c r="Z839" s="8"/>
    </row>
    <row r="840" ht="15.75" customHeight="1">
      <c r="Q840" s="8"/>
      <c r="R840" s="8"/>
      <c r="S840" s="8"/>
      <c r="T840" s="8"/>
      <c r="U840" s="8"/>
      <c r="V840" s="8"/>
      <c r="Y840" s="8"/>
      <c r="Z840" s="8"/>
    </row>
    <row r="841" ht="15.75" customHeight="1">
      <c r="Q841" s="8"/>
      <c r="R841" s="8"/>
      <c r="S841" s="8"/>
      <c r="T841" s="8"/>
      <c r="U841" s="8"/>
      <c r="V841" s="8"/>
      <c r="Y841" s="8"/>
      <c r="Z841" s="8"/>
    </row>
    <row r="842" ht="15.75" customHeight="1">
      <c r="Q842" s="8"/>
      <c r="R842" s="8"/>
      <c r="S842" s="8"/>
      <c r="T842" s="8"/>
      <c r="U842" s="8"/>
      <c r="V842" s="8"/>
      <c r="Y842" s="8"/>
      <c r="Z842" s="8"/>
    </row>
    <row r="843" ht="15.75" customHeight="1">
      <c r="Q843" s="8"/>
      <c r="R843" s="8"/>
      <c r="S843" s="8"/>
      <c r="T843" s="8"/>
      <c r="U843" s="8"/>
      <c r="V843" s="8"/>
      <c r="Y843" s="8"/>
      <c r="Z843" s="8"/>
    </row>
    <row r="844" ht="15.75" customHeight="1">
      <c r="Q844" s="8"/>
      <c r="R844" s="8"/>
      <c r="S844" s="8"/>
      <c r="T844" s="8"/>
      <c r="U844" s="8"/>
      <c r="V844" s="8"/>
      <c r="Y844" s="8"/>
      <c r="Z844" s="8"/>
    </row>
    <row r="845" ht="15.75" customHeight="1">
      <c r="Q845" s="8"/>
      <c r="R845" s="8"/>
      <c r="S845" s="8"/>
      <c r="T845" s="8"/>
      <c r="U845" s="8"/>
      <c r="V845" s="8"/>
      <c r="Y845" s="8"/>
      <c r="Z845" s="8"/>
    </row>
    <row r="846" ht="15.75" customHeight="1">
      <c r="Q846" s="8"/>
      <c r="R846" s="8"/>
      <c r="S846" s="8"/>
      <c r="T846" s="8"/>
      <c r="U846" s="8"/>
      <c r="V846" s="8"/>
      <c r="Y846" s="8"/>
      <c r="Z846" s="8"/>
    </row>
    <row r="847" ht="15.75" customHeight="1">
      <c r="Q847" s="8"/>
      <c r="R847" s="8"/>
      <c r="S847" s="8"/>
      <c r="T847" s="8"/>
      <c r="U847" s="8"/>
      <c r="V847" s="8"/>
      <c r="Y847" s="8"/>
      <c r="Z847" s="8"/>
    </row>
    <row r="848" ht="15.75" customHeight="1">
      <c r="Q848" s="8"/>
      <c r="R848" s="8"/>
      <c r="S848" s="8"/>
      <c r="T848" s="8"/>
      <c r="U848" s="8"/>
      <c r="V848" s="8"/>
      <c r="Y848" s="8"/>
      <c r="Z848" s="8"/>
    </row>
    <row r="849" ht="15.75" customHeight="1">
      <c r="Q849" s="8"/>
      <c r="R849" s="8"/>
      <c r="S849" s="8"/>
      <c r="T849" s="8"/>
      <c r="U849" s="8"/>
      <c r="V849" s="8"/>
      <c r="Y849" s="8"/>
      <c r="Z849" s="8"/>
    </row>
    <row r="850" ht="15.75" customHeight="1">
      <c r="Q850" s="8"/>
      <c r="R850" s="8"/>
      <c r="S850" s="8"/>
      <c r="T850" s="8"/>
      <c r="U850" s="8"/>
      <c r="V850" s="8"/>
      <c r="Y850" s="8"/>
      <c r="Z850" s="8"/>
    </row>
    <row r="851" ht="15.75" customHeight="1">
      <c r="Q851" s="8"/>
      <c r="R851" s="8"/>
      <c r="S851" s="8"/>
      <c r="T851" s="8"/>
      <c r="U851" s="8"/>
      <c r="V851" s="8"/>
      <c r="Y851" s="8"/>
      <c r="Z851" s="8"/>
    </row>
    <row r="852" ht="15.75" customHeight="1">
      <c r="Q852" s="8"/>
      <c r="R852" s="8"/>
      <c r="S852" s="8"/>
      <c r="T852" s="8"/>
      <c r="U852" s="8"/>
      <c r="V852" s="8"/>
      <c r="Y852" s="8"/>
      <c r="Z852" s="8"/>
    </row>
    <row r="853" ht="15.75" customHeight="1">
      <c r="Q853" s="8"/>
      <c r="R853" s="8"/>
      <c r="S853" s="8"/>
      <c r="T853" s="8"/>
      <c r="U853" s="8"/>
      <c r="V853" s="8"/>
      <c r="Y853" s="8"/>
      <c r="Z853" s="8"/>
    </row>
    <row r="854" ht="15.75" customHeight="1">
      <c r="Q854" s="8"/>
      <c r="R854" s="8"/>
      <c r="S854" s="8"/>
      <c r="T854" s="8"/>
      <c r="U854" s="8"/>
      <c r="V854" s="8"/>
      <c r="Y854" s="8"/>
      <c r="Z854" s="8"/>
    </row>
    <row r="855" ht="15.75" customHeight="1">
      <c r="Q855" s="8"/>
      <c r="R855" s="8"/>
      <c r="S855" s="8"/>
      <c r="T855" s="8"/>
      <c r="U855" s="8"/>
      <c r="V855" s="8"/>
      <c r="Y855" s="8"/>
      <c r="Z855" s="8"/>
    </row>
    <row r="856" ht="15.75" customHeight="1">
      <c r="Q856" s="8"/>
      <c r="R856" s="8"/>
      <c r="S856" s="8"/>
      <c r="T856" s="8"/>
      <c r="U856" s="8"/>
      <c r="V856" s="8"/>
      <c r="Y856" s="8"/>
      <c r="Z856" s="8"/>
    </row>
    <row r="857" ht="15.75" customHeight="1">
      <c r="Q857" s="8"/>
      <c r="R857" s="8"/>
      <c r="S857" s="8"/>
      <c r="T857" s="8"/>
      <c r="U857" s="8"/>
      <c r="V857" s="8"/>
      <c r="Y857" s="8"/>
      <c r="Z857" s="8"/>
    </row>
    <row r="858" ht="15.75" customHeight="1">
      <c r="Q858" s="8"/>
      <c r="R858" s="8"/>
      <c r="S858" s="8"/>
      <c r="T858" s="8"/>
      <c r="U858" s="8"/>
      <c r="V858" s="8"/>
      <c r="Y858" s="8"/>
      <c r="Z858" s="8"/>
    </row>
    <row r="859" ht="15.75" customHeight="1">
      <c r="Q859" s="8"/>
      <c r="R859" s="8"/>
      <c r="S859" s="8"/>
      <c r="T859" s="8"/>
      <c r="U859" s="8"/>
      <c r="V859" s="8"/>
      <c r="Y859" s="8"/>
      <c r="Z859" s="8"/>
    </row>
    <row r="860" ht="15.75" customHeight="1">
      <c r="Q860" s="8"/>
      <c r="R860" s="8"/>
      <c r="S860" s="8"/>
      <c r="T860" s="8"/>
      <c r="U860" s="8"/>
      <c r="V860" s="8"/>
      <c r="Y860" s="8"/>
      <c r="Z860" s="8"/>
    </row>
    <row r="861" ht="15.75" customHeight="1">
      <c r="Q861" s="8"/>
      <c r="R861" s="8"/>
      <c r="S861" s="8"/>
      <c r="T861" s="8"/>
      <c r="U861" s="8"/>
      <c r="V861" s="8"/>
      <c r="Y861" s="8"/>
      <c r="Z861" s="8"/>
    </row>
    <row r="862" ht="15.75" customHeight="1">
      <c r="Q862" s="8"/>
      <c r="R862" s="8"/>
      <c r="S862" s="8"/>
      <c r="T862" s="8"/>
      <c r="U862" s="8"/>
      <c r="V862" s="8"/>
      <c r="Y862" s="8"/>
      <c r="Z862" s="8"/>
    </row>
    <row r="863" ht="15.75" customHeight="1">
      <c r="Q863" s="8"/>
      <c r="R863" s="8"/>
      <c r="S863" s="8"/>
      <c r="T863" s="8"/>
      <c r="U863" s="8"/>
      <c r="V863" s="8"/>
      <c r="Y863" s="8"/>
      <c r="Z863" s="8"/>
    </row>
    <row r="864" ht="15.75" customHeight="1">
      <c r="Q864" s="8"/>
      <c r="R864" s="8"/>
      <c r="S864" s="8"/>
      <c r="T864" s="8"/>
      <c r="U864" s="8"/>
      <c r="V864" s="8"/>
      <c r="Y864" s="8"/>
      <c r="Z864" s="8"/>
    </row>
    <row r="865" ht="15.75" customHeight="1">
      <c r="Q865" s="8"/>
      <c r="R865" s="8"/>
      <c r="S865" s="8"/>
      <c r="T865" s="8"/>
      <c r="U865" s="8"/>
      <c r="V865" s="8"/>
      <c r="Y865" s="8"/>
      <c r="Z865" s="8"/>
    </row>
    <row r="866" ht="15.75" customHeight="1">
      <c r="Q866" s="8"/>
      <c r="R866" s="8"/>
      <c r="S866" s="8"/>
      <c r="T866" s="8"/>
      <c r="U866" s="8"/>
      <c r="V866" s="8"/>
      <c r="Y866" s="8"/>
      <c r="Z866" s="8"/>
    </row>
    <row r="867" ht="15.75" customHeight="1">
      <c r="Q867" s="8"/>
      <c r="R867" s="8"/>
      <c r="S867" s="8"/>
      <c r="T867" s="8"/>
      <c r="U867" s="8"/>
      <c r="V867" s="8"/>
      <c r="Y867" s="8"/>
      <c r="Z867" s="8"/>
    </row>
    <row r="868" ht="15.75" customHeight="1">
      <c r="Q868" s="8"/>
      <c r="R868" s="8"/>
      <c r="S868" s="8"/>
      <c r="T868" s="8"/>
      <c r="U868" s="8"/>
      <c r="V868" s="8"/>
      <c r="Y868" s="8"/>
      <c r="Z868" s="8"/>
    </row>
    <row r="869" ht="15.75" customHeight="1">
      <c r="Q869" s="8"/>
      <c r="R869" s="8"/>
      <c r="S869" s="8"/>
      <c r="T869" s="8"/>
      <c r="U869" s="8"/>
      <c r="V869" s="8"/>
      <c r="Y869" s="8"/>
      <c r="Z869" s="8"/>
    </row>
    <row r="870" ht="15.75" customHeight="1">
      <c r="Q870" s="8"/>
      <c r="R870" s="8"/>
      <c r="S870" s="8"/>
      <c r="T870" s="8"/>
      <c r="U870" s="8"/>
      <c r="V870" s="8"/>
      <c r="Y870" s="8"/>
      <c r="Z870" s="8"/>
    </row>
    <row r="871" ht="15.75" customHeight="1">
      <c r="Q871" s="8"/>
      <c r="R871" s="8"/>
      <c r="S871" s="8"/>
      <c r="T871" s="8"/>
      <c r="U871" s="8"/>
      <c r="V871" s="8"/>
      <c r="Y871" s="8"/>
      <c r="Z871" s="8"/>
    </row>
    <row r="872" ht="15.75" customHeight="1">
      <c r="Q872" s="8"/>
      <c r="R872" s="8"/>
      <c r="S872" s="8"/>
      <c r="T872" s="8"/>
      <c r="U872" s="8"/>
      <c r="V872" s="8"/>
      <c r="Y872" s="8"/>
      <c r="Z872" s="8"/>
    </row>
    <row r="873" ht="15.75" customHeight="1">
      <c r="Q873" s="8"/>
      <c r="R873" s="8"/>
      <c r="S873" s="8"/>
      <c r="T873" s="8"/>
      <c r="U873" s="8"/>
      <c r="V873" s="8"/>
      <c r="Y873" s="8"/>
      <c r="Z873" s="8"/>
    </row>
    <row r="874" ht="15.75" customHeight="1">
      <c r="Q874" s="8"/>
      <c r="R874" s="8"/>
      <c r="S874" s="8"/>
      <c r="T874" s="8"/>
      <c r="U874" s="8"/>
      <c r="V874" s="8"/>
      <c r="Y874" s="8"/>
      <c r="Z874" s="8"/>
    </row>
    <row r="875" ht="15.75" customHeight="1">
      <c r="Q875" s="8"/>
      <c r="R875" s="8"/>
      <c r="S875" s="8"/>
      <c r="T875" s="8"/>
      <c r="U875" s="8"/>
      <c r="V875" s="8"/>
      <c r="Y875" s="8"/>
      <c r="Z875" s="8"/>
    </row>
    <row r="876" ht="15.75" customHeight="1">
      <c r="Q876" s="8"/>
      <c r="R876" s="8"/>
      <c r="S876" s="8"/>
      <c r="T876" s="8"/>
      <c r="U876" s="8"/>
      <c r="V876" s="8"/>
      <c r="Y876" s="8"/>
      <c r="Z876" s="8"/>
    </row>
    <row r="877" ht="15.75" customHeight="1">
      <c r="Q877" s="8"/>
      <c r="R877" s="8"/>
      <c r="S877" s="8"/>
      <c r="T877" s="8"/>
      <c r="U877" s="8"/>
      <c r="V877" s="8"/>
      <c r="Y877" s="8"/>
      <c r="Z877" s="8"/>
    </row>
    <row r="878" ht="15.75" customHeight="1">
      <c r="Q878" s="8"/>
      <c r="R878" s="8"/>
      <c r="S878" s="8"/>
      <c r="T878" s="8"/>
      <c r="U878" s="8"/>
      <c r="V878" s="8"/>
      <c r="Y878" s="8"/>
      <c r="Z878" s="8"/>
    </row>
    <row r="879" ht="15.75" customHeight="1">
      <c r="Q879" s="8"/>
      <c r="R879" s="8"/>
      <c r="S879" s="8"/>
      <c r="T879" s="8"/>
      <c r="U879" s="8"/>
      <c r="V879" s="8"/>
      <c r="Y879" s="8"/>
      <c r="Z879" s="8"/>
    </row>
    <row r="880" ht="15.75" customHeight="1">
      <c r="Q880" s="8"/>
      <c r="R880" s="8"/>
      <c r="S880" s="8"/>
      <c r="T880" s="8"/>
      <c r="U880" s="8"/>
      <c r="V880" s="8"/>
      <c r="Y880" s="8"/>
      <c r="Z880" s="8"/>
    </row>
    <row r="881" ht="15.75" customHeight="1">
      <c r="Q881" s="8"/>
      <c r="R881" s="8"/>
      <c r="S881" s="8"/>
      <c r="T881" s="8"/>
      <c r="U881" s="8"/>
      <c r="V881" s="8"/>
      <c r="Y881" s="8"/>
      <c r="Z881" s="8"/>
    </row>
    <row r="882" ht="15.75" customHeight="1">
      <c r="Q882" s="8"/>
      <c r="R882" s="8"/>
      <c r="S882" s="8"/>
      <c r="T882" s="8"/>
      <c r="U882" s="8"/>
      <c r="V882" s="8"/>
      <c r="Y882" s="8"/>
      <c r="Z882" s="8"/>
    </row>
    <row r="883" ht="15.75" customHeight="1">
      <c r="Q883" s="8"/>
      <c r="R883" s="8"/>
      <c r="S883" s="8"/>
      <c r="T883" s="8"/>
      <c r="U883" s="8"/>
      <c r="V883" s="8"/>
      <c r="Y883" s="8"/>
      <c r="Z883" s="8"/>
    </row>
    <row r="884" ht="15.75" customHeight="1">
      <c r="Q884" s="8"/>
      <c r="R884" s="8"/>
      <c r="S884" s="8"/>
      <c r="T884" s="8"/>
      <c r="U884" s="8"/>
      <c r="V884" s="8"/>
      <c r="Y884" s="8"/>
      <c r="Z884" s="8"/>
    </row>
    <row r="885" ht="15.75" customHeight="1">
      <c r="Q885" s="8"/>
      <c r="R885" s="8"/>
      <c r="S885" s="8"/>
      <c r="T885" s="8"/>
      <c r="U885" s="8"/>
      <c r="V885" s="8"/>
      <c r="Y885" s="8"/>
      <c r="Z885" s="8"/>
    </row>
    <row r="886" ht="15.75" customHeight="1">
      <c r="Q886" s="8"/>
      <c r="R886" s="8"/>
      <c r="S886" s="8"/>
      <c r="T886" s="8"/>
      <c r="U886" s="8"/>
      <c r="V886" s="8"/>
      <c r="Y886" s="8"/>
      <c r="Z886" s="8"/>
    </row>
    <row r="887" ht="15.75" customHeight="1">
      <c r="Q887" s="8"/>
      <c r="R887" s="8"/>
      <c r="S887" s="8"/>
      <c r="T887" s="8"/>
      <c r="U887" s="8"/>
      <c r="V887" s="8"/>
      <c r="Y887" s="8"/>
      <c r="Z887" s="8"/>
    </row>
    <row r="888" ht="15.75" customHeight="1">
      <c r="Q888" s="8"/>
      <c r="R888" s="8"/>
      <c r="S888" s="8"/>
      <c r="T888" s="8"/>
      <c r="U888" s="8"/>
      <c r="V888" s="8"/>
      <c r="Y888" s="8"/>
      <c r="Z888" s="8"/>
    </row>
    <row r="889" ht="15.75" customHeight="1">
      <c r="Q889" s="8"/>
      <c r="R889" s="8"/>
      <c r="S889" s="8"/>
      <c r="T889" s="8"/>
      <c r="U889" s="8"/>
      <c r="V889" s="8"/>
      <c r="Y889" s="8"/>
      <c r="Z889" s="8"/>
    </row>
    <row r="890" ht="15.75" customHeight="1">
      <c r="Q890" s="8"/>
      <c r="R890" s="8"/>
      <c r="S890" s="8"/>
      <c r="T890" s="8"/>
      <c r="U890" s="8"/>
      <c r="V890" s="8"/>
      <c r="Y890" s="8"/>
      <c r="Z890" s="8"/>
    </row>
    <row r="891" ht="15.75" customHeight="1">
      <c r="Q891" s="8"/>
      <c r="R891" s="8"/>
      <c r="S891" s="8"/>
      <c r="T891" s="8"/>
      <c r="U891" s="8"/>
      <c r="V891" s="8"/>
      <c r="Y891" s="8"/>
      <c r="Z891" s="8"/>
    </row>
    <row r="892" ht="15.75" customHeight="1">
      <c r="Q892" s="8"/>
      <c r="R892" s="8"/>
      <c r="S892" s="8"/>
      <c r="T892" s="8"/>
      <c r="U892" s="8"/>
      <c r="V892" s="8"/>
      <c r="Y892" s="8"/>
      <c r="Z892" s="8"/>
    </row>
    <row r="893" ht="15.75" customHeight="1">
      <c r="Q893" s="8"/>
      <c r="R893" s="8"/>
      <c r="S893" s="8"/>
      <c r="T893" s="8"/>
      <c r="U893" s="8"/>
      <c r="V893" s="8"/>
      <c r="Y893" s="8"/>
      <c r="Z893" s="8"/>
    </row>
    <row r="894" ht="15.75" customHeight="1">
      <c r="Q894" s="8"/>
      <c r="R894" s="8"/>
      <c r="S894" s="8"/>
      <c r="T894" s="8"/>
      <c r="U894" s="8"/>
      <c r="V894" s="8"/>
      <c r="Y894" s="8"/>
      <c r="Z894" s="8"/>
    </row>
    <row r="895" ht="15.75" customHeight="1">
      <c r="Q895" s="8"/>
      <c r="R895" s="8"/>
      <c r="S895" s="8"/>
      <c r="T895" s="8"/>
      <c r="U895" s="8"/>
      <c r="V895" s="8"/>
      <c r="Y895" s="8"/>
      <c r="Z895" s="8"/>
    </row>
    <row r="896" ht="15.75" customHeight="1">
      <c r="Q896" s="8"/>
      <c r="R896" s="8"/>
      <c r="S896" s="8"/>
      <c r="T896" s="8"/>
      <c r="U896" s="8"/>
      <c r="V896" s="8"/>
      <c r="Y896" s="8"/>
      <c r="Z896" s="8"/>
    </row>
    <row r="897" ht="15.75" customHeight="1">
      <c r="Q897" s="8"/>
      <c r="R897" s="8"/>
      <c r="S897" s="8"/>
      <c r="T897" s="8"/>
      <c r="U897" s="8"/>
      <c r="V897" s="8"/>
      <c r="Y897" s="8"/>
      <c r="Z897" s="8"/>
    </row>
    <row r="898" ht="15.75" customHeight="1">
      <c r="Q898" s="8"/>
      <c r="R898" s="8"/>
      <c r="S898" s="8"/>
      <c r="T898" s="8"/>
      <c r="U898" s="8"/>
      <c r="V898" s="8"/>
      <c r="Y898" s="8"/>
      <c r="Z898" s="8"/>
    </row>
    <row r="899" ht="15.75" customHeight="1">
      <c r="Q899" s="8"/>
      <c r="R899" s="8"/>
      <c r="S899" s="8"/>
      <c r="T899" s="8"/>
      <c r="U899" s="8"/>
      <c r="V899" s="8"/>
      <c r="Y899" s="8"/>
      <c r="Z899" s="8"/>
    </row>
    <row r="900" ht="15.75" customHeight="1">
      <c r="Q900" s="8"/>
      <c r="R900" s="8"/>
      <c r="S900" s="8"/>
      <c r="T900" s="8"/>
      <c r="U900" s="8"/>
      <c r="V900" s="8"/>
      <c r="Y900" s="8"/>
      <c r="Z900" s="8"/>
    </row>
    <row r="901" ht="15.75" customHeight="1">
      <c r="Q901" s="8"/>
      <c r="R901" s="8"/>
      <c r="S901" s="8"/>
      <c r="T901" s="8"/>
      <c r="U901" s="8"/>
      <c r="V901" s="8"/>
      <c r="Y901" s="8"/>
      <c r="Z901" s="8"/>
    </row>
    <row r="902" ht="15.75" customHeight="1">
      <c r="Q902" s="8"/>
      <c r="R902" s="8"/>
      <c r="S902" s="8"/>
      <c r="T902" s="8"/>
      <c r="U902" s="8"/>
      <c r="V902" s="8"/>
      <c r="Y902" s="8"/>
      <c r="Z902" s="8"/>
    </row>
    <row r="903" ht="15.75" customHeight="1">
      <c r="Q903" s="8"/>
      <c r="R903" s="8"/>
      <c r="S903" s="8"/>
      <c r="T903" s="8"/>
      <c r="U903" s="8"/>
      <c r="V903" s="8"/>
      <c r="Y903" s="8"/>
      <c r="Z903" s="8"/>
    </row>
    <row r="904" ht="15.75" customHeight="1">
      <c r="Q904" s="8"/>
      <c r="R904" s="8"/>
      <c r="S904" s="8"/>
      <c r="T904" s="8"/>
      <c r="U904" s="8"/>
      <c r="V904" s="8"/>
      <c r="Y904" s="8"/>
      <c r="Z904" s="8"/>
    </row>
    <row r="905" ht="15.75" customHeight="1">
      <c r="Q905" s="8"/>
      <c r="R905" s="8"/>
      <c r="S905" s="8"/>
      <c r="T905" s="8"/>
      <c r="U905" s="8"/>
      <c r="V905" s="8"/>
      <c r="Y905" s="8"/>
      <c r="Z905" s="8"/>
    </row>
    <row r="906" ht="15.75" customHeight="1">
      <c r="Q906" s="8"/>
      <c r="R906" s="8"/>
      <c r="S906" s="8"/>
      <c r="T906" s="8"/>
      <c r="U906" s="8"/>
      <c r="V906" s="8"/>
      <c r="Y906" s="8"/>
      <c r="Z906" s="8"/>
    </row>
    <row r="907" ht="15.75" customHeight="1">
      <c r="Q907" s="8"/>
      <c r="R907" s="8"/>
      <c r="S907" s="8"/>
      <c r="T907" s="8"/>
      <c r="U907" s="8"/>
      <c r="V907" s="8"/>
      <c r="Y907" s="8"/>
      <c r="Z907" s="8"/>
    </row>
    <row r="908" ht="15.75" customHeight="1">
      <c r="Q908" s="8"/>
      <c r="R908" s="8"/>
      <c r="S908" s="8"/>
      <c r="T908" s="8"/>
      <c r="U908" s="8"/>
      <c r="V908" s="8"/>
      <c r="Y908" s="8"/>
      <c r="Z908" s="8"/>
    </row>
    <row r="909" ht="15.75" customHeight="1">
      <c r="Q909" s="8"/>
      <c r="R909" s="8"/>
      <c r="S909" s="8"/>
      <c r="T909" s="8"/>
      <c r="U909" s="8"/>
      <c r="V909" s="8"/>
      <c r="Y909" s="8"/>
      <c r="Z909" s="8"/>
    </row>
    <row r="910" ht="15.75" customHeight="1">
      <c r="Q910" s="8"/>
      <c r="R910" s="8"/>
      <c r="S910" s="8"/>
      <c r="T910" s="8"/>
      <c r="U910" s="8"/>
      <c r="V910" s="8"/>
      <c r="Y910" s="8"/>
      <c r="Z910" s="8"/>
    </row>
    <row r="911" ht="15.75" customHeight="1">
      <c r="Q911" s="8"/>
      <c r="R911" s="8"/>
      <c r="S911" s="8"/>
      <c r="T911" s="8"/>
      <c r="U911" s="8"/>
      <c r="V911" s="8"/>
      <c r="Y911" s="8"/>
      <c r="Z911" s="8"/>
    </row>
    <row r="912" ht="15.75" customHeight="1">
      <c r="Q912" s="8"/>
      <c r="R912" s="8"/>
      <c r="S912" s="8"/>
      <c r="T912" s="8"/>
      <c r="U912" s="8"/>
      <c r="V912" s="8"/>
      <c r="Y912" s="8"/>
      <c r="Z912" s="8"/>
    </row>
    <row r="913" ht="15.75" customHeight="1">
      <c r="Q913" s="8"/>
      <c r="R913" s="8"/>
      <c r="S913" s="8"/>
      <c r="T913" s="8"/>
      <c r="U913" s="8"/>
      <c r="V913" s="8"/>
      <c r="Y913" s="8"/>
      <c r="Z913" s="8"/>
    </row>
    <row r="914" ht="15.75" customHeight="1">
      <c r="Q914" s="8"/>
      <c r="R914" s="8"/>
      <c r="S914" s="8"/>
      <c r="T914" s="8"/>
      <c r="U914" s="8"/>
      <c r="V914" s="8"/>
      <c r="Y914" s="8"/>
      <c r="Z914" s="8"/>
    </row>
    <row r="915" ht="15.75" customHeight="1">
      <c r="Q915" s="8"/>
      <c r="R915" s="8"/>
      <c r="S915" s="8"/>
      <c r="T915" s="8"/>
      <c r="U915" s="8"/>
      <c r="V915" s="8"/>
      <c r="Y915" s="8"/>
      <c r="Z915" s="8"/>
    </row>
    <row r="916" ht="15.75" customHeight="1">
      <c r="Q916" s="8"/>
      <c r="R916" s="8"/>
      <c r="S916" s="8"/>
      <c r="T916" s="8"/>
      <c r="U916" s="8"/>
      <c r="V916" s="8"/>
      <c r="Y916" s="8"/>
      <c r="Z916" s="8"/>
    </row>
    <row r="917" ht="15.75" customHeight="1">
      <c r="Q917" s="8"/>
      <c r="R917" s="8"/>
      <c r="S917" s="8"/>
      <c r="T917" s="8"/>
      <c r="U917" s="8"/>
      <c r="V917" s="8"/>
      <c r="Y917" s="8"/>
      <c r="Z917" s="8"/>
    </row>
    <row r="918" ht="15.75" customHeight="1">
      <c r="Q918" s="8"/>
      <c r="R918" s="8"/>
      <c r="S918" s="8"/>
      <c r="T918" s="8"/>
      <c r="U918" s="8"/>
      <c r="V918" s="8"/>
      <c r="Y918" s="8"/>
      <c r="Z918" s="8"/>
    </row>
    <row r="919" ht="15.75" customHeight="1">
      <c r="Q919" s="8"/>
      <c r="R919" s="8"/>
      <c r="S919" s="8"/>
      <c r="T919" s="8"/>
      <c r="U919" s="8"/>
      <c r="V919" s="8"/>
      <c r="Y919" s="8"/>
      <c r="Z919" s="8"/>
    </row>
    <row r="920" ht="15.75" customHeight="1">
      <c r="Q920" s="8"/>
      <c r="R920" s="8"/>
      <c r="S920" s="8"/>
      <c r="T920" s="8"/>
      <c r="U920" s="8"/>
      <c r="V920" s="8"/>
      <c r="Y920" s="8"/>
      <c r="Z920" s="8"/>
    </row>
    <row r="921" ht="15.75" customHeight="1">
      <c r="Q921" s="8"/>
      <c r="R921" s="8"/>
      <c r="S921" s="8"/>
      <c r="T921" s="8"/>
      <c r="U921" s="8"/>
      <c r="V921" s="8"/>
      <c r="Y921" s="8"/>
      <c r="Z921" s="8"/>
    </row>
    <row r="922" ht="15.75" customHeight="1">
      <c r="Q922" s="8"/>
      <c r="R922" s="8"/>
      <c r="S922" s="8"/>
      <c r="T922" s="8"/>
      <c r="U922" s="8"/>
      <c r="V922" s="8"/>
      <c r="Y922" s="8"/>
      <c r="Z922" s="8"/>
    </row>
    <row r="923" ht="15.75" customHeight="1">
      <c r="Q923" s="8"/>
      <c r="R923" s="8"/>
      <c r="S923" s="8"/>
      <c r="T923" s="8"/>
      <c r="U923" s="8"/>
      <c r="V923" s="8"/>
      <c r="Y923" s="8"/>
      <c r="Z923" s="8"/>
    </row>
    <row r="924" ht="15.75" customHeight="1">
      <c r="Q924" s="8"/>
      <c r="R924" s="8"/>
      <c r="S924" s="8"/>
      <c r="T924" s="8"/>
      <c r="U924" s="8"/>
      <c r="V924" s="8"/>
      <c r="Y924" s="8"/>
      <c r="Z924" s="8"/>
    </row>
    <row r="925" ht="15.75" customHeight="1">
      <c r="Q925" s="8"/>
      <c r="R925" s="8"/>
      <c r="S925" s="8"/>
      <c r="T925" s="8"/>
      <c r="U925" s="8"/>
      <c r="V925" s="8"/>
      <c r="Y925" s="8"/>
      <c r="Z925" s="8"/>
    </row>
    <row r="926" ht="15.75" customHeight="1">
      <c r="Q926" s="8"/>
      <c r="R926" s="8"/>
      <c r="S926" s="8"/>
      <c r="T926" s="8"/>
      <c r="U926" s="8"/>
      <c r="V926" s="8"/>
      <c r="Y926" s="8"/>
      <c r="Z926" s="8"/>
    </row>
    <row r="927" ht="15.75" customHeight="1">
      <c r="Q927" s="8"/>
      <c r="R927" s="8"/>
      <c r="S927" s="8"/>
      <c r="T927" s="8"/>
      <c r="U927" s="8"/>
      <c r="V927" s="8"/>
      <c r="Y927" s="8"/>
      <c r="Z927" s="8"/>
    </row>
    <row r="928" ht="15.75" customHeight="1">
      <c r="Q928" s="8"/>
      <c r="R928" s="8"/>
      <c r="S928" s="8"/>
      <c r="T928" s="8"/>
      <c r="U928" s="8"/>
      <c r="V928" s="8"/>
      <c r="Y928" s="8"/>
      <c r="Z928" s="8"/>
    </row>
    <row r="929" ht="15.75" customHeight="1">
      <c r="Q929" s="8"/>
      <c r="R929" s="8"/>
      <c r="S929" s="8"/>
      <c r="T929" s="8"/>
      <c r="U929" s="8"/>
      <c r="V929" s="8"/>
      <c r="Y929" s="8"/>
      <c r="Z929" s="8"/>
    </row>
    <row r="930" ht="15.75" customHeight="1">
      <c r="Q930" s="8"/>
      <c r="R930" s="8"/>
      <c r="S930" s="8"/>
      <c r="T930" s="8"/>
      <c r="U930" s="8"/>
      <c r="V930" s="8"/>
      <c r="Y930" s="8"/>
      <c r="Z930" s="8"/>
    </row>
    <row r="931" ht="15.75" customHeight="1">
      <c r="Q931" s="8"/>
      <c r="R931" s="8"/>
      <c r="S931" s="8"/>
      <c r="T931" s="8"/>
      <c r="U931" s="8"/>
      <c r="V931" s="8"/>
      <c r="Y931" s="8"/>
      <c r="Z931" s="8"/>
    </row>
    <row r="932" ht="15.75" customHeight="1">
      <c r="Q932" s="8"/>
      <c r="R932" s="8"/>
      <c r="S932" s="8"/>
      <c r="T932" s="8"/>
      <c r="U932" s="8"/>
      <c r="V932" s="8"/>
      <c r="Y932" s="8"/>
      <c r="Z932" s="8"/>
    </row>
    <row r="933" ht="15.75" customHeight="1">
      <c r="Q933" s="8"/>
      <c r="R933" s="8"/>
      <c r="S933" s="8"/>
      <c r="T933" s="8"/>
      <c r="U933" s="8"/>
      <c r="V933" s="8"/>
      <c r="Y933" s="8"/>
      <c r="Z933" s="8"/>
    </row>
    <row r="934" ht="15.75" customHeight="1">
      <c r="Q934" s="8"/>
      <c r="R934" s="8"/>
      <c r="S934" s="8"/>
      <c r="T934" s="8"/>
      <c r="U934" s="8"/>
      <c r="V934" s="8"/>
      <c r="Y934" s="8"/>
      <c r="Z934" s="8"/>
    </row>
    <row r="935" ht="15.75" customHeight="1">
      <c r="Q935" s="8"/>
      <c r="R935" s="8"/>
      <c r="S935" s="8"/>
      <c r="T935" s="8"/>
      <c r="U935" s="8"/>
      <c r="V935" s="8"/>
      <c r="Y935" s="8"/>
      <c r="Z935" s="8"/>
    </row>
    <row r="936" ht="15.75" customHeight="1">
      <c r="Q936" s="8"/>
      <c r="R936" s="8"/>
      <c r="S936" s="8"/>
      <c r="T936" s="8"/>
      <c r="U936" s="8"/>
      <c r="V936" s="8"/>
      <c r="Y936" s="8"/>
      <c r="Z936" s="8"/>
    </row>
    <row r="937" ht="15.75" customHeight="1">
      <c r="Q937" s="8"/>
      <c r="R937" s="8"/>
      <c r="S937" s="8"/>
      <c r="T937" s="8"/>
      <c r="U937" s="8"/>
      <c r="V937" s="8"/>
      <c r="Y937" s="8"/>
      <c r="Z937" s="8"/>
    </row>
    <row r="938" ht="15.75" customHeight="1">
      <c r="Q938" s="8"/>
      <c r="R938" s="8"/>
      <c r="S938" s="8"/>
      <c r="T938" s="8"/>
      <c r="U938" s="8"/>
      <c r="V938" s="8"/>
      <c r="Y938" s="8"/>
      <c r="Z938" s="8"/>
    </row>
    <row r="939" ht="15.75" customHeight="1">
      <c r="Q939" s="8"/>
      <c r="R939" s="8"/>
      <c r="S939" s="8"/>
      <c r="T939" s="8"/>
      <c r="U939" s="8"/>
      <c r="V939" s="8"/>
      <c r="Y939" s="8"/>
      <c r="Z939" s="8"/>
    </row>
    <row r="940" ht="15.75" customHeight="1">
      <c r="Q940" s="8"/>
      <c r="R940" s="8"/>
      <c r="S940" s="8"/>
      <c r="T940" s="8"/>
      <c r="U940" s="8"/>
      <c r="V940" s="8"/>
      <c r="Y940" s="8"/>
      <c r="Z940" s="8"/>
    </row>
    <row r="941" ht="15.75" customHeight="1">
      <c r="Q941" s="8"/>
      <c r="R941" s="8"/>
      <c r="S941" s="8"/>
      <c r="T941" s="8"/>
      <c r="U941" s="8"/>
      <c r="V941" s="8"/>
      <c r="Y941" s="8"/>
      <c r="Z941" s="8"/>
    </row>
    <row r="942" ht="15.75" customHeight="1">
      <c r="Q942" s="8"/>
      <c r="R942" s="8"/>
      <c r="S942" s="8"/>
      <c r="T942" s="8"/>
      <c r="U942" s="8"/>
      <c r="V942" s="8"/>
      <c r="Y942" s="8"/>
      <c r="Z942" s="8"/>
    </row>
    <row r="943" ht="15.75" customHeight="1">
      <c r="Q943" s="8"/>
      <c r="R943" s="8"/>
      <c r="S943" s="8"/>
      <c r="T943" s="8"/>
      <c r="U943" s="8"/>
      <c r="V943" s="8"/>
      <c r="Y943" s="8"/>
      <c r="Z943" s="8"/>
    </row>
    <row r="944" ht="15.75" customHeight="1">
      <c r="Q944" s="8"/>
      <c r="R944" s="8"/>
      <c r="S944" s="8"/>
      <c r="T944" s="8"/>
      <c r="U944" s="8"/>
      <c r="V944" s="8"/>
      <c r="Y944" s="8"/>
      <c r="Z944" s="8"/>
    </row>
    <row r="945" ht="15.75" customHeight="1">
      <c r="Q945" s="8"/>
      <c r="R945" s="8"/>
      <c r="S945" s="8"/>
      <c r="T945" s="8"/>
      <c r="U945" s="8"/>
      <c r="V945" s="8"/>
      <c r="Y945" s="8"/>
      <c r="Z945" s="8"/>
    </row>
    <row r="946" ht="15.75" customHeight="1">
      <c r="Q946" s="8"/>
      <c r="R946" s="8"/>
      <c r="S946" s="8"/>
      <c r="T946" s="8"/>
      <c r="U946" s="8"/>
      <c r="V946" s="8"/>
      <c r="Y946" s="8"/>
      <c r="Z946" s="8"/>
    </row>
    <row r="947" ht="15.75" customHeight="1">
      <c r="Q947" s="8"/>
      <c r="R947" s="8"/>
      <c r="S947" s="8"/>
      <c r="T947" s="8"/>
      <c r="U947" s="8"/>
      <c r="V947" s="8"/>
      <c r="Y947" s="8"/>
      <c r="Z947" s="8"/>
    </row>
    <row r="948" ht="15.75" customHeight="1">
      <c r="Q948" s="8"/>
      <c r="R948" s="8"/>
      <c r="S948" s="8"/>
      <c r="T948" s="8"/>
      <c r="U948" s="8"/>
      <c r="V948" s="8"/>
      <c r="Y948" s="8"/>
      <c r="Z948" s="8"/>
    </row>
    <row r="949" ht="15.75" customHeight="1">
      <c r="Q949" s="8"/>
      <c r="R949" s="8"/>
      <c r="S949" s="8"/>
      <c r="T949" s="8"/>
      <c r="U949" s="8"/>
      <c r="V949" s="8"/>
      <c r="Y949" s="8"/>
      <c r="Z949" s="8"/>
    </row>
    <row r="950" ht="15.75" customHeight="1">
      <c r="Q950" s="8"/>
      <c r="R950" s="8"/>
      <c r="S950" s="8"/>
      <c r="T950" s="8"/>
      <c r="U950" s="8"/>
      <c r="V950" s="8"/>
      <c r="Y950" s="8"/>
      <c r="Z950" s="8"/>
    </row>
    <row r="951" ht="15.75" customHeight="1">
      <c r="Q951" s="8"/>
      <c r="R951" s="8"/>
      <c r="S951" s="8"/>
      <c r="T951" s="8"/>
      <c r="U951" s="8"/>
      <c r="V951" s="8"/>
      <c r="Y951" s="8"/>
      <c r="Z951" s="8"/>
    </row>
    <row r="952" ht="15.75" customHeight="1">
      <c r="Q952" s="8"/>
      <c r="R952" s="8"/>
      <c r="S952" s="8"/>
      <c r="T952" s="8"/>
      <c r="U952" s="8"/>
      <c r="V952" s="8"/>
      <c r="Y952" s="8"/>
      <c r="Z952" s="8"/>
    </row>
    <row r="953" ht="15.75" customHeight="1">
      <c r="Q953" s="8"/>
      <c r="R953" s="8"/>
      <c r="S953" s="8"/>
      <c r="T953" s="8"/>
      <c r="U953" s="8"/>
      <c r="V953" s="8"/>
      <c r="Y953" s="8"/>
      <c r="Z953" s="8"/>
    </row>
    <row r="954" ht="15.75" customHeight="1">
      <c r="Q954" s="8"/>
      <c r="R954" s="8"/>
      <c r="S954" s="8"/>
      <c r="T954" s="8"/>
      <c r="U954" s="8"/>
      <c r="V954" s="8"/>
      <c r="Y954" s="8"/>
      <c r="Z954" s="8"/>
    </row>
    <row r="955" ht="15.75" customHeight="1">
      <c r="Q955" s="8"/>
      <c r="R955" s="8"/>
      <c r="S955" s="8"/>
      <c r="T955" s="8"/>
      <c r="U955" s="8"/>
      <c r="V955" s="8"/>
      <c r="Y955" s="8"/>
      <c r="Z955" s="8"/>
    </row>
    <row r="956" ht="15.75" customHeight="1">
      <c r="Q956" s="8"/>
      <c r="R956" s="8"/>
      <c r="S956" s="8"/>
      <c r="T956" s="8"/>
      <c r="U956" s="8"/>
      <c r="V956" s="8"/>
      <c r="Y956" s="8"/>
      <c r="Z956" s="8"/>
    </row>
    <row r="957" ht="15.75" customHeight="1">
      <c r="Q957" s="8"/>
      <c r="R957" s="8"/>
      <c r="S957" s="8"/>
      <c r="T957" s="8"/>
      <c r="U957" s="8"/>
      <c r="V957" s="8"/>
      <c r="Y957" s="8"/>
      <c r="Z957" s="8"/>
    </row>
    <row r="958" ht="15.75" customHeight="1">
      <c r="Q958" s="8"/>
      <c r="R958" s="8"/>
      <c r="S958" s="8"/>
      <c r="T958" s="8"/>
      <c r="U958" s="8"/>
      <c r="V958" s="8"/>
      <c r="Y958" s="8"/>
      <c r="Z958" s="8"/>
    </row>
    <row r="959" ht="15.75" customHeight="1">
      <c r="Q959" s="8"/>
      <c r="R959" s="8"/>
      <c r="S959" s="8"/>
      <c r="T959" s="8"/>
      <c r="U959" s="8"/>
      <c r="V959" s="8"/>
      <c r="Y959" s="8"/>
      <c r="Z959" s="8"/>
    </row>
    <row r="960" ht="15.75" customHeight="1">
      <c r="Q960" s="8"/>
      <c r="R960" s="8"/>
      <c r="S960" s="8"/>
      <c r="T960" s="8"/>
      <c r="U960" s="8"/>
      <c r="V960" s="8"/>
      <c r="Y960" s="8"/>
      <c r="Z960" s="8"/>
    </row>
    <row r="961" ht="15.75" customHeight="1">
      <c r="Q961" s="8"/>
      <c r="R961" s="8"/>
      <c r="S961" s="8"/>
      <c r="T961" s="8"/>
      <c r="U961" s="8"/>
      <c r="V961" s="8"/>
      <c r="Y961" s="8"/>
      <c r="Z961" s="8"/>
    </row>
    <row r="962" ht="15.75" customHeight="1">
      <c r="Q962" s="8"/>
      <c r="R962" s="8"/>
      <c r="S962" s="8"/>
      <c r="T962" s="8"/>
      <c r="U962" s="8"/>
      <c r="V962" s="8"/>
      <c r="Y962" s="8"/>
      <c r="Z962" s="8"/>
    </row>
    <row r="963" ht="15.75" customHeight="1">
      <c r="Q963" s="8"/>
      <c r="R963" s="8"/>
      <c r="S963" s="8"/>
      <c r="T963" s="8"/>
      <c r="U963" s="8"/>
      <c r="V963" s="8"/>
      <c r="Y963" s="8"/>
      <c r="Z963" s="8"/>
    </row>
    <row r="964" ht="15.75" customHeight="1">
      <c r="Q964" s="8"/>
      <c r="R964" s="8"/>
      <c r="S964" s="8"/>
      <c r="T964" s="8"/>
      <c r="U964" s="8"/>
      <c r="V964" s="8"/>
      <c r="Y964" s="8"/>
      <c r="Z964" s="8"/>
    </row>
    <row r="965" ht="15.75" customHeight="1">
      <c r="Q965" s="8"/>
      <c r="R965" s="8"/>
      <c r="S965" s="8"/>
      <c r="T965" s="8"/>
      <c r="U965" s="8"/>
      <c r="V965" s="8"/>
      <c r="Y965" s="8"/>
      <c r="Z965" s="8"/>
    </row>
    <row r="966" ht="15.75" customHeight="1">
      <c r="Q966" s="8"/>
      <c r="R966" s="8"/>
      <c r="S966" s="8"/>
      <c r="T966" s="8"/>
      <c r="U966" s="8"/>
      <c r="V966" s="8"/>
      <c r="Y966" s="8"/>
      <c r="Z966" s="8"/>
    </row>
    <row r="967" ht="15.75" customHeight="1">
      <c r="Q967" s="8"/>
      <c r="R967" s="8"/>
      <c r="S967" s="8"/>
      <c r="T967" s="8"/>
      <c r="U967" s="8"/>
      <c r="V967" s="8"/>
      <c r="Y967" s="8"/>
      <c r="Z967" s="8"/>
    </row>
    <row r="968" ht="15.75" customHeight="1">
      <c r="Q968" s="8"/>
      <c r="R968" s="8"/>
      <c r="S968" s="8"/>
      <c r="T968" s="8"/>
      <c r="U968" s="8"/>
      <c r="V968" s="8"/>
      <c r="Y968" s="8"/>
      <c r="Z968" s="8"/>
    </row>
    <row r="969" ht="15.75" customHeight="1">
      <c r="Q969" s="8"/>
      <c r="R969" s="8"/>
      <c r="S969" s="8"/>
      <c r="T969" s="8"/>
      <c r="U969" s="8"/>
      <c r="V969" s="8"/>
      <c r="Y969" s="8"/>
      <c r="Z969" s="8"/>
    </row>
    <row r="970" ht="15.75" customHeight="1">
      <c r="Q970" s="8"/>
      <c r="R970" s="8"/>
      <c r="S970" s="8"/>
      <c r="T970" s="8"/>
      <c r="U970" s="8"/>
      <c r="V970" s="8"/>
      <c r="Y970" s="8"/>
      <c r="Z970" s="8"/>
    </row>
    <row r="971" ht="15.75" customHeight="1">
      <c r="Q971" s="8"/>
      <c r="R971" s="8"/>
      <c r="S971" s="8"/>
      <c r="T971" s="8"/>
      <c r="U971" s="8"/>
      <c r="V971" s="8"/>
      <c r="Y971" s="8"/>
      <c r="Z971" s="8"/>
    </row>
    <row r="972" ht="15.75" customHeight="1">
      <c r="Q972" s="8"/>
      <c r="R972" s="8"/>
      <c r="S972" s="8"/>
      <c r="T972" s="8"/>
      <c r="U972" s="8"/>
      <c r="V972" s="8"/>
      <c r="Y972" s="8"/>
      <c r="Z972" s="8"/>
    </row>
    <row r="973" ht="15.75" customHeight="1">
      <c r="Q973" s="8"/>
      <c r="R973" s="8"/>
      <c r="S973" s="8"/>
      <c r="T973" s="8"/>
      <c r="U973" s="8"/>
      <c r="V973" s="8"/>
      <c r="Y973" s="8"/>
      <c r="Z973" s="8"/>
    </row>
    <row r="974" ht="15.75" customHeight="1">
      <c r="Q974" s="8"/>
      <c r="R974" s="8"/>
      <c r="S974" s="8"/>
      <c r="T974" s="8"/>
      <c r="U974" s="8"/>
      <c r="V974" s="8"/>
      <c r="Y974" s="8"/>
      <c r="Z974" s="8"/>
    </row>
    <row r="975" ht="15.75" customHeight="1">
      <c r="Q975" s="8"/>
      <c r="R975" s="8"/>
      <c r="S975" s="8"/>
      <c r="T975" s="8"/>
      <c r="U975" s="8"/>
      <c r="V975" s="8"/>
      <c r="Y975" s="8"/>
      <c r="Z975" s="8"/>
    </row>
    <row r="976" ht="15.75" customHeight="1">
      <c r="Q976" s="8"/>
      <c r="R976" s="8"/>
      <c r="S976" s="8"/>
      <c r="T976" s="8"/>
      <c r="U976" s="8"/>
      <c r="V976" s="8"/>
      <c r="Y976" s="8"/>
      <c r="Z976" s="8"/>
    </row>
    <row r="977" ht="15.75" customHeight="1">
      <c r="Q977" s="8"/>
      <c r="R977" s="8"/>
      <c r="S977" s="8"/>
      <c r="T977" s="8"/>
      <c r="U977" s="8"/>
      <c r="V977" s="8"/>
      <c r="Y977" s="8"/>
      <c r="Z977" s="8"/>
    </row>
    <row r="978" ht="15.75" customHeight="1">
      <c r="Q978" s="8"/>
      <c r="R978" s="8"/>
      <c r="S978" s="8"/>
      <c r="T978" s="8"/>
      <c r="U978" s="8"/>
      <c r="V978" s="8"/>
      <c r="Y978" s="8"/>
      <c r="Z978" s="8"/>
    </row>
    <row r="979" ht="15.75" customHeight="1">
      <c r="Q979" s="8"/>
      <c r="R979" s="8"/>
      <c r="S979" s="8"/>
      <c r="T979" s="8"/>
      <c r="U979" s="8"/>
      <c r="V979" s="8"/>
      <c r="Y979" s="8"/>
      <c r="Z979" s="8"/>
    </row>
    <row r="980" ht="15.75" customHeight="1">
      <c r="Q980" s="8"/>
      <c r="R980" s="8"/>
      <c r="S980" s="8"/>
      <c r="T980" s="8"/>
      <c r="U980" s="8"/>
      <c r="V980" s="8"/>
      <c r="Y980" s="8"/>
      <c r="Z980" s="8"/>
    </row>
    <row r="981" ht="15.75" customHeight="1">
      <c r="Q981" s="8"/>
      <c r="R981" s="8"/>
      <c r="S981" s="8"/>
      <c r="T981" s="8"/>
      <c r="U981" s="8"/>
      <c r="V981" s="8"/>
      <c r="Y981" s="8"/>
      <c r="Z981" s="8"/>
    </row>
    <row r="982" ht="15.75" customHeight="1">
      <c r="Q982" s="8"/>
      <c r="R982" s="8"/>
      <c r="S982" s="8"/>
      <c r="T982" s="8"/>
      <c r="U982" s="8"/>
      <c r="V982" s="8"/>
      <c r="Y982" s="8"/>
      <c r="Z982" s="8"/>
    </row>
    <row r="983" ht="15.75" customHeight="1">
      <c r="Q983" s="8"/>
      <c r="R983" s="8"/>
      <c r="S983" s="8"/>
      <c r="T983" s="8"/>
      <c r="U983" s="8"/>
      <c r="V983" s="8"/>
      <c r="Y983" s="8"/>
      <c r="Z983" s="8"/>
    </row>
    <row r="984" ht="15.75" customHeight="1">
      <c r="Q984" s="8"/>
      <c r="R984" s="8"/>
      <c r="S984" s="8"/>
      <c r="T984" s="8"/>
      <c r="U984" s="8"/>
      <c r="V984" s="8"/>
      <c r="Y984" s="8"/>
      <c r="Z984" s="8"/>
    </row>
    <row r="985" ht="15.75" customHeight="1">
      <c r="Q985" s="8"/>
      <c r="R985" s="8"/>
      <c r="S985" s="8"/>
      <c r="T985" s="8"/>
      <c r="U985" s="8"/>
      <c r="V985" s="8"/>
      <c r="Y985" s="8"/>
      <c r="Z985" s="8"/>
    </row>
    <row r="986" ht="15.75" customHeight="1">
      <c r="Q986" s="8"/>
      <c r="R986" s="8"/>
      <c r="S986" s="8"/>
      <c r="T986" s="8"/>
      <c r="U986" s="8"/>
      <c r="V986" s="8"/>
      <c r="Y986" s="8"/>
      <c r="Z986" s="8"/>
    </row>
    <row r="987" ht="15.75" customHeight="1">
      <c r="Q987" s="8"/>
      <c r="R987" s="8"/>
      <c r="S987" s="8"/>
      <c r="T987" s="8"/>
      <c r="U987" s="8"/>
      <c r="V987" s="8"/>
      <c r="Y987" s="8"/>
      <c r="Z987" s="8"/>
    </row>
    <row r="988" ht="15.75" customHeight="1">
      <c r="Q988" s="8"/>
      <c r="R988" s="8"/>
      <c r="S988" s="8"/>
      <c r="T988" s="8"/>
      <c r="U988" s="8"/>
      <c r="V988" s="8"/>
      <c r="Y988" s="8"/>
      <c r="Z988" s="8"/>
    </row>
    <row r="989" ht="15.75" customHeight="1">
      <c r="Q989" s="8"/>
      <c r="R989" s="8"/>
      <c r="S989" s="8"/>
      <c r="T989" s="8"/>
      <c r="U989" s="8"/>
      <c r="V989" s="8"/>
      <c r="Y989" s="8"/>
      <c r="Z989" s="8"/>
    </row>
    <row r="990" ht="15.75" customHeight="1">
      <c r="Q990" s="8"/>
      <c r="R990" s="8"/>
      <c r="S990" s="8"/>
      <c r="T990" s="8"/>
      <c r="U990" s="8"/>
      <c r="V990" s="8"/>
      <c r="Y990" s="8"/>
      <c r="Z990" s="8"/>
    </row>
    <row r="991" ht="15.75" customHeight="1">
      <c r="Q991" s="8"/>
      <c r="R991" s="8"/>
      <c r="S991" s="8"/>
      <c r="T991" s="8"/>
      <c r="U991" s="8"/>
      <c r="V991" s="8"/>
      <c r="Y991" s="8"/>
      <c r="Z991" s="8"/>
    </row>
    <row r="992" ht="15.75" customHeight="1">
      <c r="Q992" s="8"/>
      <c r="R992" s="8"/>
      <c r="S992" s="8"/>
      <c r="T992" s="8"/>
      <c r="U992" s="8"/>
      <c r="V992" s="8"/>
      <c r="Y992" s="8"/>
      <c r="Z992" s="8"/>
    </row>
    <row r="993" ht="15.75" customHeight="1">
      <c r="Q993" s="8"/>
      <c r="R993" s="8"/>
      <c r="S993" s="8"/>
      <c r="T993" s="8"/>
      <c r="U993" s="8"/>
      <c r="V993" s="8"/>
      <c r="Y993" s="8"/>
      <c r="Z993" s="8"/>
    </row>
    <row r="994" ht="15.75" customHeight="1">
      <c r="Q994" s="8"/>
      <c r="R994" s="8"/>
      <c r="S994" s="8"/>
      <c r="T994" s="8"/>
      <c r="U994" s="8"/>
      <c r="V994" s="8"/>
      <c r="Y994" s="8"/>
      <c r="Z994" s="8"/>
    </row>
    <row r="995" ht="15.75" customHeight="1">
      <c r="Q995" s="8"/>
      <c r="R995" s="8"/>
      <c r="S995" s="8"/>
      <c r="T995" s="8"/>
      <c r="U995" s="8"/>
      <c r="V995" s="8"/>
      <c r="Y995" s="8"/>
      <c r="Z995" s="8"/>
    </row>
    <row r="996" ht="15.75" customHeight="1">
      <c r="Q996" s="8"/>
      <c r="R996" s="8"/>
      <c r="S996" s="8"/>
      <c r="T996" s="8"/>
      <c r="U996" s="8"/>
      <c r="V996" s="8"/>
      <c r="Y996" s="8"/>
      <c r="Z996" s="8"/>
    </row>
    <row r="997" ht="15.75" customHeight="1">
      <c r="Q997" s="8"/>
      <c r="R997" s="8"/>
      <c r="S997" s="8"/>
      <c r="T997" s="8"/>
      <c r="U997" s="8"/>
      <c r="V997" s="8"/>
      <c r="Y997" s="8"/>
      <c r="Z997" s="8"/>
    </row>
    <row r="998" ht="15.75" customHeight="1">
      <c r="Q998" s="8"/>
      <c r="R998" s="8"/>
      <c r="S998" s="8"/>
      <c r="T998" s="8"/>
      <c r="U998" s="8"/>
      <c r="V998" s="8"/>
      <c r="Y998" s="8"/>
      <c r="Z998" s="8"/>
    </row>
    <row r="999" ht="15.75" customHeight="1">
      <c r="Q999" s="8"/>
      <c r="R999" s="8"/>
      <c r="S999" s="8"/>
      <c r="T999" s="8"/>
      <c r="U999" s="8"/>
      <c r="V999" s="8"/>
      <c r="Y999" s="8"/>
      <c r="Z999" s="8"/>
    </row>
    <row r="1000" ht="15.75" customHeight="1">
      <c r="Q1000" s="8"/>
      <c r="R1000" s="8"/>
      <c r="S1000" s="8"/>
      <c r="T1000" s="8"/>
      <c r="U1000" s="8"/>
      <c r="V1000" s="8"/>
      <c r="Y1000" s="8"/>
      <c r="Z1000" s="8"/>
    </row>
    <row r="1001" ht="15.75" customHeight="1">
      <c r="Q1001" s="8"/>
      <c r="R1001" s="8"/>
      <c r="S1001" s="8"/>
      <c r="T1001" s="8"/>
      <c r="U1001" s="8"/>
      <c r="V1001" s="8"/>
      <c r="Y1001" s="8"/>
      <c r="Z1001" s="8"/>
    </row>
    <row r="1002" ht="15.75" customHeight="1">
      <c r="Q1002" s="8"/>
      <c r="R1002" s="8"/>
      <c r="S1002" s="8"/>
      <c r="T1002" s="8"/>
      <c r="U1002" s="8"/>
      <c r="V1002" s="8"/>
      <c r="Y1002" s="8"/>
      <c r="Z1002" s="8"/>
    </row>
    <row r="1003" ht="15.75" customHeight="1">
      <c r="Q1003" s="8"/>
      <c r="R1003" s="8"/>
      <c r="S1003" s="8"/>
      <c r="T1003" s="8"/>
      <c r="U1003" s="8"/>
      <c r="V1003" s="8"/>
      <c r="Y1003" s="8"/>
      <c r="Z1003" s="8"/>
    </row>
    <row r="1004" ht="15.75" customHeight="1">
      <c r="Q1004" s="8"/>
      <c r="R1004" s="8"/>
      <c r="S1004" s="8"/>
      <c r="T1004" s="8"/>
      <c r="U1004" s="8"/>
      <c r="V1004" s="8"/>
      <c r="Y1004" s="8"/>
      <c r="Z1004" s="8"/>
    </row>
    <row r="1005" ht="15.75" customHeight="1">
      <c r="Q1005" s="8"/>
      <c r="R1005" s="8"/>
      <c r="S1005" s="8"/>
      <c r="T1005" s="8"/>
      <c r="U1005" s="8"/>
      <c r="V1005" s="8"/>
      <c r="Y1005" s="8"/>
      <c r="Z1005" s="8"/>
    </row>
    <row r="1006" ht="15.75" customHeight="1">
      <c r="Q1006" s="8"/>
      <c r="R1006" s="8"/>
      <c r="S1006" s="8"/>
      <c r="T1006" s="8"/>
      <c r="U1006" s="8"/>
      <c r="V1006" s="8"/>
      <c r="Y1006" s="8"/>
      <c r="Z1006" s="8"/>
    </row>
    <row r="1007" ht="15.75" customHeight="1">
      <c r="Q1007" s="8"/>
      <c r="R1007" s="8"/>
      <c r="S1007" s="8"/>
      <c r="T1007" s="8"/>
      <c r="U1007" s="8"/>
      <c r="V1007" s="8"/>
      <c r="Y1007" s="8"/>
      <c r="Z1007" s="8"/>
    </row>
    <row r="1008" ht="15.75" customHeight="1">
      <c r="Q1008" s="8"/>
      <c r="R1008" s="8"/>
      <c r="S1008" s="8"/>
      <c r="T1008" s="8"/>
      <c r="U1008" s="8"/>
      <c r="V1008" s="8"/>
      <c r="Y1008" s="8"/>
      <c r="Z1008" s="8"/>
    </row>
    <row r="1009" ht="15.75" customHeight="1">
      <c r="Q1009" s="13"/>
      <c r="R1009" s="8"/>
      <c r="S1009" s="8"/>
      <c r="T1009" s="8"/>
      <c r="U1009" s="8"/>
      <c r="V1009" s="8"/>
      <c r="Y1009" s="8"/>
      <c r="Z1009" s="8"/>
    </row>
    <row r="1010" ht="15.75" customHeight="1">
      <c r="Q1010" s="13"/>
      <c r="R1010" s="8"/>
      <c r="S1010" s="8"/>
      <c r="T1010" s="8"/>
      <c r="U1010" s="8"/>
      <c r="V1010" s="8"/>
      <c r="Y1010" s="8"/>
      <c r="Z1010" s="8"/>
    </row>
    <row r="1011" ht="15.75" customHeight="1">
      <c r="Q1011" s="13"/>
      <c r="R1011" s="8"/>
      <c r="S1011" s="8"/>
      <c r="T1011" s="8"/>
      <c r="U1011" s="8"/>
      <c r="V1011" s="8"/>
      <c r="Y1011" s="8"/>
      <c r="Z1011" s="8"/>
    </row>
    <row r="1012" ht="15.75" customHeight="1">
      <c r="Q1012" s="8"/>
      <c r="R1012" s="8"/>
      <c r="S1012" s="8"/>
      <c r="T1012" s="8"/>
      <c r="U1012" s="8"/>
      <c r="V1012" s="8"/>
      <c r="Y1012" s="8"/>
      <c r="Z1012" s="8"/>
    </row>
    <row r="1013" ht="15.75" customHeight="1">
      <c r="Q1013" s="8"/>
      <c r="R1013" s="8"/>
      <c r="S1013" s="8"/>
      <c r="T1013" s="8"/>
      <c r="U1013" s="8"/>
      <c r="V1013" s="8"/>
      <c r="Y1013" s="8"/>
      <c r="Z1013" s="8"/>
    </row>
    <row r="1014" ht="15.75" customHeight="1">
      <c r="Q1014" s="8"/>
      <c r="R1014" s="8"/>
      <c r="S1014" s="8"/>
      <c r="T1014" s="8"/>
      <c r="U1014" s="8"/>
      <c r="V1014" s="8"/>
      <c r="Y1014" s="8"/>
      <c r="Z1014" s="8"/>
    </row>
    <row r="1015" ht="15.75" customHeight="1">
      <c r="Q1015" s="8"/>
      <c r="R1015" s="8"/>
      <c r="S1015" s="8"/>
      <c r="T1015" s="8"/>
      <c r="U1015" s="8"/>
      <c r="V1015" s="8"/>
      <c r="Y1015" s="8"/>
      <c r="Z1015" s="8"/>
    </row>
    <row r="1016" ht="15.75" customHeight="1">
      <c r="Q1016" s="8"/>
      <c r="R1016" s="8"/>
      <c r="S1016" s="8"/>
      <c r="T1016" s="8"/>
      <c r="U1016" s="8"/>
      <c r="V1016" s="8"/>
      <c r="Y1016" s="8"/>
      <c r="Z1016" s="8"/>
    </row>
    <row r="1017" ht="15.75" customHeight="1">
      <c r="Q1017" s="8"/>
      <c r="R1017" s="8"/>
      <c r="S1017" s="8"/>
      <c r="T1017" s="8"/>
      <c r="U1017" s="8"/>
      <c r="V1017" s="8"/>
      <c r="Y1017" s="8"/>
      <c r="Z1017" s="8"/>
    </row>
    <row r="1018" ht="15.75" customHeight="1">
      <c r="Q1018" s="8"/>
      <c r="R1018" s="8"/>
      <c r="S1018" s="8"/>
      <c r="T1018" s="8"/>
      <c r="U1018" s="8"/>
      <c r="V1018" s="8"/>
      <c r="Y1018" s="8"/>
      <c r="Z1018" s="8"/>
    </row>
    <row r="1019" ht="15.75" customHeight="1">
      <c r="Q1019" s="8"/>
      <c r="R1019" s="8"/>
      <c r="S1019" s="8"/>
      <c r="T1019" s="8"/>
      <c r="U1019" s="8"/>
      <c r="V1019" s="8"/>
      <c r="Y1019" s="8"/>
      <c r="Z1019" s="8"/>
    </row>
    <row r="1020" ht="15.75" customHeight="1">
      <c r="Q1020" s="8"/>
      <c r="R1020" s="8"/>
      <c r="S1020" s="8"/>
      <c r="T1020" s="8"/>
      <c r="U1020" s="8"/>
      <c r="V1020" s="8"/>
      <c r="Y1020" s="8"/>
      <c r="Z1020" s="8"/>
    </row>
    <row r="1021" ht="15.75" customHeight="1">
      <c r="Q1021" s="8"/>
      <c r="R1021" s="8"/>
      <c r="S1021" s="8"/>
      <c r="T1021" s="8"/>
      <c r="U1021" s="8"/>
      <c r="V1021" s="8"/>
      <c r="Y1021" s="8"/>
      <c r="Z1021" s="8"/>
    </row>
    <row r="1022" ht="15.75" customHeight="1">
      <c r="Q1022" s="8"/>
      <c r="R1022" s="8"/>
      <c r="S1022" s="8"/>
      <c r="T1022" s="8"/>
      <c r="U1022" s="8"/>
      <c r="V1022" s="8"/>
      <c r="Y1022" s="8"/>
      <c r="Z1022" s="8"/>
    </row>
    <row r="1023" ht="15.75" customHeight="1">
      <c r="Q1023" s="8"/>
      <c r="R1023" s="8"/>
      <c r="S1023" s="8"/>
      <c r="T1023" s="8"/>
      <c r="U1023" s="8"/>
      <c r="V1023" s="8"/>
      <c r="Y1023" s="8"/>
      <c r="Z1023" s="8"/>
    </row>
    <row r="1024" ht="15.75" customHeight="1">
      <c r="Q1024" s="8"/>
      <c r="R1024" s="8"/>
      <c r="S1024" s="8"/>
      <c r="T1024" s="8"/>
      <c r="U1024" s="8"/>
      <c r="V1024" s="8"/>
      <c r="Y1024" s="8"/>
      <c r="Z1024" s="8"/>
    </row>
    <row r="1025" ht="15.75" customHeight="1">
      <c r="Q1025" s="8"/>
      <c r="R1025" s="8"/>
      <c r="S1025" s="8"/>
      <c r="T1025" s="8"/>
      <c r="U1025" s="8"/>
      <c r="V1025" s="8"/>
      <c r="Y1025" s="8"/>
      <c r="Z1025" s="8"/>
    </row>
    <row r="1026" ht="15.75" customHeight="1">
      <c r="Q1026" s="8"/>
      <c r="R1026" s="8"/>
      <c r="S1026" s="8"/>
      <c r="T1026" s="8"/>
      <c r="U1026" s="8"/>
      <c r="V1026" s="8"/>
      <c r="Y1026" s="8"/>
      <c r="Z1026" s="8"/>
    </row>
    <row r="1027" ht="15.75" customHeight="1">
      <c r="Q1027" s="8"/>
      <c r="R1027" s="8"/>
      <c r="S1027" s="8"/>
      <c r="T1027" s="8"/>
      <c r="U1027" s="8"/>
      <c r="V1027" s="8"/>
      <c r="Y1027" s="8"/>
      <c r="Z1027" s="8"/>
    </row>
    <row r="1028" ht="15.75" customHeight="1">
      <c r="Q1028" s="8"/>
      <c r="R1028" s="8"/>
      <c r="S1028" s="8"/>
      <c r="T1028" s="8"/>
      <c r="U1028" s="8"/>
      <c r="V1028" s="8"/>
      <c r="Y1028" s="8"/>
      <c r="Z1028" s="8"/>
    </row>
    <row r="1029" ht="15.75" customHeight="1">
      <c r="Q1029" s="8"/>
      <c r="R1029" s="8"/>
      <c r="S1029" s="8"/>
      <c r="T1029" s="8"/>
      <c r="U1029" s="8"/>
      <c r="V1029" s="8"/>
      <c r="Y1029" s="8"/>
      <c r="Z1029" s="8"/>
    </row>
    <row r="1030" ht="15.75" customHeight="1">
      <c r="Q1030" s="8"/>
      <c r="R1030" s="8"/>
      <c r="S1030" s="8"/>
      <c r="T1030" s="8"/>
      <c r="U1030" s="8"/>
      <c r="V1030" s="8"/>
      <c r="Y1030" s="8"/>
      <c r="Z1030" s="8"/>
    </row>
    <row r="1031" ht="15.75" customHeight="1">
      <c r="Q1031" s="8"/>
      <c r="R1031" s="8"/>
      <c r="S1031" s="8"/>
      <c r="T1031" s="8"/>
      <c r="U1031" s="8"/>
      <c r="V1031" s="8"/>
      <c r="Y1031" s="8"/>
      <c r="Z1031" s="8"/>
    </row>
    <row r="1032" ht="15.75" customHeight="1">
      <c r="Q1032" s="8"/>
      <c r="R1032" s="8"/>
      <c r="S1032" s="8"/>
      <c r="T1032" s="8"/>
      <c r="U1032" s="8"/>
      <c r="V1032" s="8"/>
      <c r="Y1032" s="8"/>
      <c r="Z1032" s="8"/>
    </row>
    <row r="1033" ht="15.75" customHeight="1">
      <c r="Q1033" s="8"/>
      <c r="R1033" s="8"/>
      <c r="S1033" s="8"/>
      <c r="T1033" s="8"/>
      <c r="U1033" s="8"/>
      <c r="V1033" s="8"/>
      <c r="Y1033" s="8"/>
      <c r="Z1033" s="8"/>
    </row>
    <row r="1034" ht="15.75" customHeight="1">
      <c r="Q1034" s="8"/>
      <c r="R1034" s="8"/>
      <c r="S1034" s="8"/>
      <c r="T1034" s="8"/>
      <c r="U1034" s="8"/>
      <c r="V1034" s="8"/>
      <c r="Y1034" s="8"/>
      <c r="Z1034" s="8"/>
    </row>
    <row r="1035" ht="15.75" customHeight="1">
      <c r="Q1035" s="8"/>
      <c r="R1035" s="8"/>
      <c r="S1035" s="8"/>
      <c r="T1035" s="8"/>
      <c r="U1035" s="8"/>
      <c r="V1035" s="8"/>
      <c r="Y1035" s="8"/>
      <c r="Z1035" s="8"/>
    </row>
    <row r="1036" ht="15.75" customHeight="1">
      <c r="Q1036" s="8"/>
      <c r="R1036" s="8"/>
      <c r="S1036" s="8"/>
      <c r="T1036" s="8"/>
      <c r="U1036" s="8"/>
      <c r="V1036" s="8"/>
      <c r="Y1036" s="8"/>
      <c r="Z1036" s="8"/>
    </row>
    <row r="1037" ht="15.75" customHeight="1">
      <c r="Q1037" s="8"/>
      <c r="R1037" s="8"/>
      <c r="S1037" s="8"/>
      <c r="T1037" s="8"/>
      <c r="U1037" s="8"/>
      <c r="V1037" s="8"/>
      <c r="Y1037" s="8"/>
      <c r="Z1037" s="8"/>
    </row>
    <row r="1038" ht="15.75" customHeight="1">
      <c r="Q1038" s="8"/>
      <c r="R1038" s="8"/>
      <c r="S1038" s="8"/>
      <c r="T1038" s="8"/>
      <c r="U1038" s="8"/>
      <c r="V1038" s="8"/>
      <c r="Y1038" s="8"/>
      <c r="Z1038" s="8"/>
    </row>
    <row r="1039" ht="15.75" customHeight="1">
      <c r="Q1039" s="8"/>
      <c r="R1039" s="8"/>
      <c r="S1039" s="8"/>
      <c r="T1039" s="8"/>
      <c r="U1039" s="8"/>
      <c r="V1039" s="8"/>
      <c r="Y1039" s="8"/>
      <c r="Z1039" s="8"/>
    </row>
    <row r="1040" ht="15.75" customHeight="1">
      <c r="Q1040" s="8"/>
      <c r="R1040" s="8"/>
      <c r="S1040" s="8"/>
      <c r="T1040" s="8"/>
      <c r="U1040" s="8"/>
      <c r="V1040" s="8"/>
      <c r="Y1040" s="8"/>
      <c r="Z1040" s="8"/>
    </row>
    <row r="1041" ht="15.75" customHeight="1">
      <c r="Q1041" s="8"/>
      <c r="R1041" s="8"/>
      <c r="S1041" s="8"/>
      <c r="T1041" s="8"/>
      <c r="U1041" s="8"/>
      <c r="V1041" s="8"/>
      <c r="Y1041" s="8"/>
      <c r="Z1041" s="8"/>
    </row>
    <row r="1042" ht="15.75" customHeight="1">
      <c r="Q1042" s="8"/>
      <c r="R1042" s="8"/>
      <c r="S1042" s="8"/>
      <c r="T1042" s="8"/>
      <c r="U1042" s="8"/>
      <c r="V1042" s="8"/>
      <c r="Y1042" s="8"/>
      <c r="Z1042" s="8"/>
    </row>
    <row r="1043" ht="15.75" customHeight="1">
      <c r="Q1043" s="8"/>
      <c r="R1043" s="8"/>
      <c r="S1043" s="8"/>
      <c r="T1043" s="8"/>
      <c r="U1043" s="8"/>
      <c r="V1043" s="8"/>
      <c r="Y1043" s="8"/>
      <c r="Z1043" s="8"/>
    </row>
    <row r="1044" ht="15.75" customHeight="1">
      <c r="Q1044" s="8"/>
      <c r="R1044" s="8"/>
      <c r="S1044" s="8"/>
      <c r="T1044" s="8"/>
      <c r="U1044" s="8"/>
      <c r="V1044" s="8"/>
      <c r="Y1044" s="8"/>
      <c r="Z1044" s="8"/>
    </row>
    <row r="1045" ht="15.75" customHeight="1">
      <c r="Q1045" s="8"/>
      <c r="R1045" s="8"/>
      <c r="S1045" s="8"/>
      <c r="T1045" s="8"/>
      <c r="U1045" s="8"/>
      <c r="V1045" s="8"/>
      <c r="Y1045" s="8"/>
      <c r="Z1045" s="8"/>
    </row>
    <row r="1046" ht="15.75" customHeight="1">
      <c r="Q1046" s="8"/>
      <c r="R1046" s="8"/>
      <c r="S1046" s="8"/>
      <c r="T1046" s="8"/>
      <c r="U1046" s="8"/>
      <c r="V1046" s="8"/>
      <c r="Y1046" s="8"/>
      <c r="Z1046" s="8"/>
    </row>
    <row r="1047" ht="15.75" customHeight="1">
      <c r="Q1047" s="8"/>
      <c r="R1047" s="8"/>
      <c r="S1047" s="8"/>
      <c r="T1047" s="8"/>
      <c r="U1047" s="8"/>
      <c r="V1047" s="8"/>
      <c r="Y1047" s="8"/>
      <c r="Z1047" s="8"/>
    </row>
    <row r="1048" ht="15.75" customHeight="1">
      <c r="Q1048" s="8"/>
      <c r="R1048" s="8"/>
      <c r="S1048" s="8"/>
      <c r="T1048" s="8"/>
      <c r="U1048" s="8"/>
      <c r="V1048" s="8"/>
      <c r="Y1048" s="8"/>
      <c r="Z1048" s="8"/>
    </row>
    <row r="1049" ht="15.75" customHeight="1">
      <c r="Q1049" s="8"/>
      <c r="R1049" s="8"/>
      <c r="S1049" s="8"/>
      <c r="T1049" s="8"/>
      <c r="U1049" s="8"/>
      <c r="V1049" s="8"/>
      <c r="Y1049" s="8"/>
      <c r="Z1049" s="8"/>
    </row>
    <row r="1050" ht="15.75" customHeight="1">
      <c r="Q1050" s="8"/>
      <c r="R1050" s="8"/>
      <c r="S1050" s="8"/>
      <c r="T1050" s="8"/>
      <c r="U1050" s="8"/>
      <c r="V1050" s="8"/>
      <c r="Y1050" s="8"/>
      <c r="Z1050" s="8"/>
    </row>
    <row r="1051" ht="15.75" customHeight="1">
      <c r="Q1051" s="8"/>
      <c r="R1051" s="8"/>
      <c r="S1051" s="8"/>
      <c r="T1051" s="8"/>
      <c r="U1051" s="8"/>
      <c r="V1051" s="8"/>
      <c r="Y1051" s="8"/>
      <c r="Z1051" s="8"/>
    </row>
    <row r="1052" ht="15.75" customHeight="1">
      <c r="Q1052" s="8"/>
      <c r="R1052" s="8"/>
      <c r="S1052" s="8"/>
      <c r="T1052" s="8"/>
      <c r="U1052" s="8"/>
      <c r="V1052" s="8"/>
      <c r="Y1052" s="8"/>
      <c r="Z1052" s="8"/>
    </row>
    <row r="1053" ht="15.75" customHeight="1">
      <c r="Q1053" s="8"/>
      <c r="R1053" s="8"/>
      <c r="S1053" s="8"/>
      <c r="T1053" s="8"/>
      <c r="U1053" s="8"/>
      <c r="V1053" s="8"/>
      <c r="Y1053" s="8"/>
      <c r="Z1053" s="8"/>
    </row>
    <row r="1054" ht="15.75" customHeight="1">
      <c r="Q1054" s="8"/>
      <c r="R1054" s="8"/>
      <c r="S1054" s="8"/>
      <c r="T1054" s="8"/>
      <c r="U1054" s="8"/>
      <c r="V1054" s="8"/>
      <c r="Y1054" s="8"/>
      <c r="Z1054" s="8"/>
    </row>
    <row r="1055" ht="15.75" customHeight="1">
      <c r="Q1055" s="8"/>
      <c r="R1055" s="8"/>
      <c r="S1055" s="8"/>
      <c r="T1055" s="8"/>
      <c r="U1055" s="8"/>
      <c r="V1055" s="8"/>
      <c r="Y1055" s="8"/>
      <c r="Z1055" s="8"/>
    </row>
    <row r="1056" ht="15.75" customHeight="1">
      <c r="Q1056" s="8"/>
      <c r="R1056" s="8"/>
      <c r="S1056" s="8"/>
      <c r="T1056" s="8"/>
      <c r="U1056" s="8"/>
      <c r="V1056" s="8"/>
      <c r="Y1056" s="8"/>
      <c r="Z1056" s="8"/>
    </row>
    <row r="1057" ht="15.75" customHeight="1">
      <c r="Q1057" s="8"/>
      <c r="R1057" s="8"/>
      <c r="S1057" s="8"/>
      <c r="T1057" s="8"/>
      <c r="U1057" s="8"/>
      <c r="V1057" s="8"/>
      <c r="Y1057" s="8"/>
      <c r="Z1057" s="8"/>
    </row>
    <row r="1058" ht="15.75" customHeight="1">
      <c r="Q1058" s="8"/>
      <c r="R1058" s="8"/>
      <c r="S1058" s="8"/>
      <c r="T1058" s="8"/>
      <c r="U1058" s="8"/>
      <c r="V1058" s="8"/>
      <c r="Y1058" s="8"/>
      <c r="Z1058" s="8"/>
    </row>
    <row r="1059" ht="15.75" customHeight="1">
      <c r="Q1059" s="8"/>
      <c r="R1059" s="8"/>
      <c r="S1059" s="8"/>
      <c r="T1059" s="8"/>
      <c r="U1059" s="8"/>
      <c r="V1059" s="8"/>
      <c r="Y1059" s="8"/>
      <c r="Z1059" s="8"/>
    </row>
    <row r="1060" ht="15.75" customHeight="1">
      <c r="Q1060" s="8"/>
      <c r="R1060" s="8"/>
      <c r="S1060" s="8"/>
      <c r="T1060" s="8"/>
      <c r="U1060" s="8"/>
      <c r="V1060" s="8"/>
      <c r="Y1060" s="8"/>
      <c r="Z1060" s="8"/>
    </row>
    <row r="1061" ht="15.75" customHeight="1">
      <c r="Q1061" s="8"/>
      <c r="R1061" s="8"/>
      <c r="S1061" s="8"/>
      <c r="T1061" s="8"/>
      <c r="U1061" s="8"/>
      <c r="V1061" s="8"/>
      <c r="Y1061" s="8"/>
      <c r="Z1061" s="8"/>
    </row>
    <row r="1062" ht="15.75" customHeight="1">
      <c r="Q1062" s="8"/>
      <c r="R1062" s="8"/>
      <c r="S1062" s="8"/>
      <c r="T1062" s="8"/>
      <c r="U1062" s="8"/>
      <c r="V1062" s="8"/>
      <c r="Y1062" s="8"/>
      <c r="Z1062" s="8"/>
    </row>
    <row r="1063" ht="15.75" customHeight="1">
      <c r="Q1063" s="8"/>
      <c r="R1063" s="8"/>
      <c r="S1063" s="8"/>
      <c r="T1063" s="8"/>
      <c r="U1063" s="8"/>
      <c r="V1063" s="8"/>
      <c r="Y1063" s="8"/>
      <c r="Z1063" s="8"/>
    </row>
    <row r="1064" ht="15.75" customHeight="1">
      <c r="Q1064" s="8"/>
      <c r="R1064" s="8"/>
      <c r="S1064" s="8"/>
      <c r="T1064" s="8"/>
      <c r="U1064" s="8"/>
      <c r="V1064" s="8"/>
      <c r="Y1064" s="8"/>
      <c r="Z1064" s="8"/>
    </row>
    <row r="1065" ht="15.75" customHeight="1">
      <c r="Q1065" s="8"/>
      <c r="R1065" s="8"/>
      <c r="S1065" s="8"/>
      <c r="T1065" s="8"/>
      <c r="U1065" s="8"/>
      <c r="V1065" s="8"/>
      <c r="Y1065" s="8"/>
      <c r="Z1065" s="8"/>
    </row>
    <row r="1066" ht="15.75" customHeight="1">
      <c r="Q1066" s="8"/>
      <c r="R1066" s="8"/>
      <c r="S1066" s="8"/>
      <c r="T1066" s="8"/>
      <c r="U1066" s="8"/>
      <c r="V1066" s="8"/>
      <c r="Y1066" s="8"/>
      <c r="Z1066" s="8"/>
    </row>
    <row r="1067" ht="15.75" customHeight="1">
      <c r="Q1067" s="8"/>
      <c r="R1067" s="8"/>
      <c r="S1067" s="8"/>
      <c r="T1067" s="8"/>
      <c r="U1067" s="8"/>
      <c r="V1067" s="8"/>
      <c r="Y1067" s="8"/>
      <c r="Z1067" s="8"/>
    </row>
    <row r="1068" ht="15.75" customHeight="1">
      <c r="Q1068" s="8"/>
      <c r="R1068" s="8"/>
      <c r="S1068" s="8"/>
      <c r="T1068" s="8"/>
      <c r="U1068" s="8"/>
      <c r="V1068" s="8"/>
      <c r="Y1068" s="8"/>
      <c r="Z1068" s="8"/>
    </row>
    <row r="1069" ht="15.75" customHeight="1">
      <c r="Q1069" s="8"/>
      <c r="R1069" s="8"/>
      <c r="S1069" s="8"/>
      <c r="T1069" s="8"/>
      <c r="U1069" s="8"/>
      <c r="V1069" s="8"/>
      <c r="Y1069" s="8"/>
      <c r="Z1069" s="8"/>
    </row>
    <row r="1070" ht="15.75" customHeight="1">
      <c r="Q1070" s="8"/>
      <c r="R1070" s="8"/>
      <c r="S1070" s="8"/>
      <c r="T1070" s="8"/>
      <c r="U1070" s="8"/>
      <c r="V1070" s="8"/>
      <c r="Y1070" s="8"/>
      <c r="Z1070" s="8"/>
    </row>
    <row r="1071" ht="15.75" customHeight="1">
      <c r="Q1071" s="8"/>
      <c r="R1071" s="8"/>
      <c r="S1071" s="8"/>
      <c r="T1071" s="8"/>
      <c r="U1071" s="8"/>
      <c r="V1071" s="8"/>
      <c r="Y1071" s="8"/>
      <c r="Z1071" s="8"/>
    </row>
    <row r="1072" ht="15.75" customHeight="1">
      <c r="Q1072" s="8"/>
      <c r="R1072" s="8"/>
      <c r="S1072" s="8"/>
      <c r="T1072" s="8"/>
      <c r="U1072" s="8"/>
      <c r="V1072" s="8"/>
      <c r="Y1072" s="8"/>
      <c r="Z1072" s="8"/>
    </row>
    <row r="1073" ht="15.75" customHeight="1">
      <c r="Q1073" s="8"/>
      <c r="R1073" s="8"/>
      <c r="S1073" s="8"/>
      <c r="T1073" s="8"/>
      <c r="U1073" s="8"/>
      <c r="V1073" s="8"/>
      <c r="Y1073" s="8"/>
      <c r="Z1073" s="8"/>
    </row>
    <row r="1074" ht="15.75" customHeight="1">
      <c r="Q1074" s="8"/>
      <c r="R1074" s="8"/>
      <c r="S1074" s="8"/>
      <c r="T1074" s="8"/>
      <c r="U1074" s="8"/>
      <c r="V1074" s="8"/>
      <c r="Y1074" s="8"/>
      <c r="Z1074" s="8"/>
    </row>
    <row r="1075" ht="15.75" customHeight="1">
      <c r="Q1075" s="8"/>
      <c r="R1075" s="8"/>
      <c r="S1075" s="8"/>
      <c r="T1075" s="8"/>
      <c r="U1075" s="8"/>
      <c r="V1075" s="8"/>
      <c r="Y1075" s="8"/>
      <c r="Z1075" s="8"/>
    </row>
    <row r="1076" ht="15.75" customHeight="1">
      <c r="Q1076" s="8"/>
      <c r="R1076" s="8"/>
      <c r="S1076" s="8"/>
      <c r="T1076" s="8"/>
      <c r="U1076" s="8"/>
      <c r="V1076" s="8"/>
      <c r="Y1076" s="8"/>
      <c r="Z1076" s="8"/>
    </row>
    <row r="1077" ht="15.75" customHeight="1">
      <c r="Q1077" s="8"/>
      <c r="R1077" s="8"/>
      <c r="S1077" s="8"/>
      <c r="T1077" s="8"/>
      <c r="U1077" s="8"/>
      <c r="V1077" s="8"/>
      <c r="Y1077" s="8"/>
      <c r="Z1077" s="8"/>
    </row>
    <row r="1078" ht="15.75" customHeight="1">
      <c r="Q1078" s="8"/>
      <c r="R1078" s="8"/>
      <c r="S1078" s="8"/>
      <c r="T1078" s="8"/>
      <c r="U1078" s="8"/>
      <c r="V1078" s="8"/>
      <c r="Y1078" s="8"/>
      <c r="Z1078" s="8"/>
    </row>
    <row r="1079" ht="15.75" customHeight="1">
      <c r="Q1079" s="8"/>
      <c r="R1079" s="8"/>
      <c r="S1079" s="8"/>
      <c r="T1079" s="8"/>
      <c r="U1079" s="8"/>
      <c r="V1079" s="8"/>
      <c r="Y1079" s="8"/>
      <c r="Z1079" s="8"/>
    </row>
    <row r="1080" ht="15.75" customHeight="1">
      <c r="Q1080" s="8"/>
      <c r="R1080" s="8"/>
      <c r="S1080" s="8"/>
      <c r="T1080" s="8"/>
      <c r="U1080" s="8"/>
      <c r="V1080" s="8"/>
      <c r="Y1080" s="8"/>
      <c r="Z1080" s="8"/>
    </row>
    <row r="1081" ht="15.75" customHeight="1">
      <c r="Q1081" s="8"/>
      <c r="R1081" s="8"/>
      <c r="S1081" s="8"/>
      <c r="T1081" s="8"/>
      <c r="U1081" s="8"/>
      <c r="V1081" s="8"/>
      <c r="Y1081" s="8"/>
      <c r="Z1081" s="8"/>
    </row>
    <row r="1082" ht="15.75" customHeight="1">
      <c r="Q1082" s="8"/>
      <c r="R1082" s="8"/>
      <c r="S1082" s="8"/>
      <c r="T1082" s="8"/>
      <c r="U1082" s="8"/>
      <c r="V1082" s="8"/>
      <c r="Y1082" s="8"/>
      <c r="Z1082" s="8"/>
    </row>
    <row r="1083" ht="15.75" customHeight="1">
      <c r="Q1083" s="8"/>
      <c r="R1083" s="8"/>
      <c r="S1083" s="8"/>
      <c r="T1083" s="8"/>
      <c r="U1083" s="8"/>
      <c r="V1083" s="8"/>
      <c r="Y1083" s="8"/>
      <c r="Z1083" s="8"/>
    </row>
    <row r="1084" ht="15.75" customHeight="1">
      <c r="Q1084" s="8"/>
      <c r="R1084" s="8"/>
      <c r="S1084" s="8"/>
      <c r="T1084" s="8"/>
      <c r="U1084" s="8"/>
      <c r="V1084" s="8"/>
      <c r="Y1084" s="8"/>
      <c r="Z1084" s="8"/>
    </row>
    <row r="1085" ht="15.75" customHeight="1">
      <c r="Q1085" s="8"/>
      <c r="R1085" s="8"/>
      <c r="S1085" s="8"/>
      <c r="T1085" s="8"/>
      <c r="U1085" s="8"/>
      <c r="V1085" s="8"/>
      <c r="Y1085" s="8"/>
      <c r="Z1085" s="8"/>
    </row>
    <row r="1086" ht="15.75" customHeight="1">
      <c r="Q1086" s="8"/>
      <c r="R1086" s="8"/>
      <c r="S1086" s="8"/>
      <c r="T1086" s="8"/>
      <c r="U1086" s="8"/>
      <c r="V1086" s="8"/>
      <c r="Y1086" s="8"/>
      <c r="Z1086" s="8"/>
    </row>
    <row r="1087" ht="15.75" customHeight="1">
      <c r="Q1087" s="8"/>
      <c r="R1087" s="8"/>
      <c r="S1087" s="8"/>
      <c r="T1087" s="8"/>
      <c r="U1087" s="8"/>
      <c r="V1087" s="8"/>
      <c r="Y1087" s="8"/>
      <c r="Z1087" s="8"/>
    </row>
    <row r="1088" ht="15.75" customHeight="1">
      <c r="Q1088" s="8"/>
      <c r="R1088" s="8"/>
      <c r="S1088" s="8"/>
      <c r="T1088" s="8"/>
      <c r="U1088" s="8"/>
      <c r="V1088" s="8"/>
      <c r="Y1088" s="8"/>
      <c r="Z1088" s="8"/>
    </row>
    <row r="1089" ht="15.75" customHeight="1">
      <c r="Q1089" s="8"/>
      <c r="R1089" s="8"/>
      <c r="S1089" s="8"/>
      <c r="T1089" s="8"/>
      <c r="U1089" s="8"/>
      <c r="V1089" s="8"/>
      <c r="Y1089" s="8"/>
      <c r="Z1089" s="8"/>
    </row>
    <row r="1090" ht="15.75" customHeight="1">
      <c r="Q1090" s="8"/>
      <c r="R1090" s="8"/>
      <c r="S1090" s="8"/>
      <c r="T1090" s="8"/>
      <c r="U1090" s="8"/>
      <c r="V1090" s="8"/>
      <c r="Y1090" s="8"/>
      <c r="Z1090" s="8"/>
    </row>
    <row r="1091" ht="15.75" customHeight="1">
      <c r="Q1091" s="8"/>
      <c r="R1091" s="8"/>
      <c r="S1091" s="8"/>
      <c r="T1091" s="8"/>
      <c r="U1091" s="8"/>
      <c r="V1091" s="8"/>
      <c r="Y1091" s="8"/>
      <c r="Z1091" s="8"/>
    </row>
    <row r="1092" ht="15.75" customHeight="1">
      <c r="Q1092" s="8"/>
      <c r="R1092" s="8"/>
      <c r="S1092" s="8"/>
      <c r="T1092" s="8"/>
      <c r="U1092" s="8"/>
      <c r="V1092" s="8"/>
      <c r="Y1092" s="8"/>
      <c r="Z1092" s="8"/>
    </row>
    <row r="1093" ht="15.75" customHeight="1">
      <c r="Q1093" s="8"/>
      <c r="R1093" s="8"/>
      <c r="S1093" s="8"/>
      <c r="T1093" s="8"/>
      <c r="U1093" s="8"/>
      <c r="V1093" s="8"/>
      <c r="Y1093" s="8"/>
      <c r="Z1093" s="8"/>
    </row>
    <row r="1094" ht="15.75" customHeight="1">
      <c r="Q1094" s="8"/>
      <c r="R1094" s="8"/>
      <c r="S1094" s="8"/>
      <c r="T1094" s="8"/>
      <c r="U1094" s="8"/>
      <c r="V1094" s="8"/>
      <c r="Y1094" s="8"/>
      <c r="Z1094" s="8"/>
    </row>
    <row r="1095" ht="15.75" customHeight="1">
      <c r="Q1095" s="8"/>
      <c r="R1095" s="8"/>
      <c r="S1095" s="8"/>
      <c r="T1095" s="8"/>
      <c r="U1095" s="8"/>
      <c r="V1095" s="8"/>
      <c r="Y1095" s="8"/>
      <c r="Z1095" s="8"/>
    </row>
    <row r="1096" ht="15.75" customHeight="1">
      <c r="Q1096" s="8"/>
      <c r="R1096" s="8"/>
      <c r="S1096" s="8"/>
      <c r="T1096" s="8"/>
      <c r="U1096" s="8"/>
      <c r="V1096" s="8"/>
      <c r="Y1096" s="8"/>
      <c r="Z1096" s="8"/>
    </row>
    <row r="1097" ht="15.75" customHeight="1">
      <c r="Q1097" s="8"/>
      <c r="R1097" s="8"/>
      <c r="S1097" s="8"/>
      <c r="T1097" s="8"/>
      <c r="U1097" s="8"/>
      <c r="V1097" s="8"/>
      <c r="Y1097" s="8"/>
      <c r="Z1097" s="8"/>
    </row>
    <row r="1098" ht="15.75" customHeight="1">
      <c r="Q1098" s="8"/>
      <c r="R1098" s="8"/>
      <c r="S1098" s="8"/>
      <c r="T1098" s="8"/>
      <c r="U1098" s="8"/>
      <c r="V1098" s="8"/>
      <c r="Y1098" s="8"/>
      <c r="Z1098" s="8"/>
    </row>
    <row r="1099" ht="15.75" customHeight="1">
      <c r="Q1099" s="8"/>
      <c r="R1099" s="8"/>
      <c r="S1099" s="8"/>
      <c r="T1099" s="8"/>
      <c r="U1099" s="8"/>
      <c r="V1099" s="8"/>
      <c r="Y1099" s="8"/>
      <c r="Z1099" s="8"/>
    </row>
    <row r="1100" ht="15.75" customHeight="1">
      <c r="Q1100" s="8"/>
      <c r="R1100" s="8"/>
      <c r="S1100" s="8"/>
      <c r="T1100" s="8"/>
      <c r="U1100" s="8"/>
      <c r="V1100" s="8"/>
      <c r="Y1100" s="8"/>
      <c r="Z1100" s="8"/>
    </row>
    <row r="1101" ht="15.75" customHeight="1">
      <c r="Q1101" s="8"/>
      <c r="R1101" s="8"/>
      <c r="S1101" s="8"/>
      <c r="T1101" s="8"/>
      <c r="U1101" s="8"/>
      <c r="V1101" s="8"/>
      <c r="Y1101" s="8"/>
      <c r="Z1101" s="8"/>
    </row>
    <row r="1102" ht="15.75" customHeight="1">
      <c r="Q1102" s="8"/>
      <c r="R1102" s="8"/>
      <c r="S1102" s="8"/>
      <c r="T1102" s="8"/>
      <c r="U1102" s="8"/>
      <c r="V1102" s="8"/>
      <c r="Y1102" s="8"/>
      <c r="Z1102" s="8"/>
    </row>
    <row r="1103" ht="15.75" customHeight="1">
      <c r="Q1103" s="8"/>
      <c r="R1103" s="8"/>
      <c r="S1103" s="8"/>
      <c r="T1103" s="8"/>
      <c r="U1103" s="8"/>
      <c r="V1103" s="8"/>
      <c r="Y1103" s="8"/>
      <c r="Z1103" s="8"/>
    </row>
    <row r="1104" ht="15.75" customHeight="1">
      <c r="Q1104" s="8"/>
      <c r="R1104" s="8"/>
      <c r="S1104" s="8"/>
      <c r="T1104" s="8"/>
      <c r="U1104" s="8"/>
      <c r="V1104" s="8"/>
      <c r="Y1104" s="8"/>
      <c r="Z1104" s="8"/>
    </row>
    <row r="1105" ht="15.75" customHeight="1">
      <c r="Q1105" s="8"/>
      <c r="R1105" s="8"/>
      <c r="S1105" s="8"/>
      <c r="T1105" s="8"/>
      <c r="U1105" s="8"/>
      <c r="V1105" s="8"/>
      <c r="Y1105" s="8"/>
      <c r="Z1105" s="8"/>
    </row>
    <row r="1106" ht="15.75" customHeight="1">
      <c r="Q1106" s="8"/>
      <c r="R1106" s="8"/>
      <c r="S1106" s="8"/>
      <c r="T1106" s="8"/>
      <c r="U1106" s="8"/>
      <c r="V1106" s="8"/>
      <c r="Y1106" s="8"/>
      <c r="Z1106" s="8"/>
    </row>
    <row r="1107" ht="15.75" customHeight="1">
      <c r="Q1107" s="8"/>
      <c r="R1107" s="8"/>
      <c r="S1107" s="8"/>
      <c r="T1107" s="8"/>
      <c r="U1107" s="8"/>
      <c r="V1107" s="8"/>
      <c r="Y1107" s="8"/>
      <c r="Z1107" s="8"/>
    </row>
    <row r="1108" ht="15.75" customHeight="1">
      <c r="Q1108" s="8"/>
      <c r="R1108" s="8"/>
      <c r="S1108" s="8"/>
      <c r="T1108" s="8"/>
      <c r="U1108" s="8"/>
      <c r="V1108" s="8"/>
      <c r="Y1108" s="8"/>
      <c r="Z1108" s="8"/>
    </row>
    <row r="1109" ht="15.75" customHeight="1">
      <c r="Q1109" s="8"/>
      <c r="R1109" s="8"/>
      <c r="S1109" s="8"/>
      <c r="T1109" s="8"/>
      <c r="U1109" s="8"/>
      <c r="V1109" s="8"/>
      <c r="Y1109" s="8"/>
      <c r="Z1109" s="8"/>
    </row>
    <row r="1110" ht="15.75" customHeight="1">
      <c r="Q1110" s="8"/>
      <c r="R1110" s="8"/>
      <c r="S1110" s="8"/>
      <c r="T1110" s="8"/>
      <c r="U1110" s="8"/>
      <c r="V1110" s="8"/>
      <c r="Y1110" s="8"/>
      <c r="Z1110" s="8"/>
    </row>
    <row r="1111" ht="15.75" customHeight="1">
      <c r="Q1111" s="8"/>
      <c r="R1111" s="8"/>
      <c r="S1111" s="8"/>
      <c r="T1111" s="8"/>
      <c r="U1111" s="8"/>
      <c r="V1111" s="8"/>
      <c r="Y1111" s="8"/>
      <c r="Z1111" s="8"/>
    </row>
    <row r="1112" ht="15.75" customHeight="1">
      <c r="Q1112" s="8"/>
      <c r="R1112" s="8"/>
      <c r="S1112" s="8"/>
      <c r="T1112" s="8"/>
      <c r="U1112" s="8"/>
      <c r="V1112" s="8"/>
      <c r="Y1112" s="8"/>
      <c r="Z1112" s="8"/>
    </row>
    <row r="1113" ht="15.75" customHeight="1">
      <c r="Q1113" s="8"/>
      <c r="R1113" s="8"/>
      <c r="S1113" s="8"/>
      <c r="T1113" s="8"/>
      <c r="U1113" s="8"/>
      <c r="V1113" s="8"/>
      <c r="Y1113" s="8"/>
      <c r="Z1113" s="8"/>
    </row>
    <row r="1114" ht="15.75" customHeight="1">
      <c r="Q1114" s="8"/>
      <c r="R1114" s="8"/>
      <c r="S1114" s="8"/>
      <c r="T1114" s="8"/>
      <c r="U1114" s="8"/>
      <c r="V1114" s="8"/>
      <c r="Y1114" s="8"/>
      <c r="Z1114" s="8"/>
    </row>
    <row r="1115" ht="15.75" customHeight="1">
      <c r="Q1115" s="8"/>
      <c r="R1115" s="8"/>
      <c r="S1115" s="8"/>
      <c r="T1115" s="8"/>
      <c r="U1115" s="8"/>
      <c r="V1115" s="8"/>
      <c r="Y1115" s="8"/>
      <c r="Z1115" s="8"/>
    </row>
    <row r="1116" ht="15.75" customHeight="1">
      <c r="Q1116" s="8"/>
      <c r="R1116" s="8"/>
      <c r="S1116" s="8"/>
      <c r="T1116" s="8"/>
      <c r="U1116" s="8"/>
      <c r="V1116" s="8"/>
      <c r="Y1116" s="8"/>
      <c r="Z1116" s="8"/>
    </row>
    <row r="1117" ht="15.75" customHeight="1">
      <c r="Q1117" s="8"/>
      <c r="R1117" s="8"/>
      <c r="S1117" s="8"/>
      <c r="T1117" s="8"/>
      <c r="U1117" s="8"/>
      <c r="V1117" s="8"/>
      <c r="Y1117" s="8"/>
      <c r="Z1117" s="8"/>
    </row>
    <row r="1118" ht="15.75" customHeight="1">
      <c r="Q1118" s="8"/>
      <c r="R1118" s="8"/>
      <c r="S1118" s="8"/>
      <c r="T1118" s="8"/>
      <c r="U1118" s="8"/>
      <c r="V1118" s="8"/>
      <c r="Y1118" s="8"/>
      <c r="Z1118" s="8"/>
    </row>
    <row r="1119" ht="15.75" customHeight="1">
      <c r="Q1119" s="8"/>
      <c r="R1119" s="8"/>
      <c r="S1119" s="8"/>
      <c r="T1119" s="8"/>
      <c r="U1119" s="8"/>
      <c r="V1119" s="8"/>
      <c r="Y1119" s="8"/>
      <c r="Z1119" s="8"/>
    </row>
    <row r="1120" ht="15.75" customHeight="1">
      <c r="Q1120" s="8"/>
      <c r="R1120" s="8"/>
      <c r="S1120" s="8"/>
      <c r="T1120" s="8"/>
      <c r="U1120" s="8"/>
      <c r="V1120" s="8"/>
      <c r="Y1120" s="8"/>
      <c r="Z1120" s="8"/>
    </row>
    <row r="1121" ht="15.75" customHeight="1">
      <c r="Q1121" s="8"/>
      <c r="R1121" s="8"/>
      <c r="S1121" s="8"/>
      <c r="T1121" s="8"/>
      <c r="U1121" s="8"/>
      <c r="V1121" s="8"/>
      <c r="Y1121" s="8"/>
      <c r="Z1121" s="8"/>
    </row>
    <row r="1122" ht="15.75" customHeight="1">
      <c r="Q1122" s="8"/>
      <c r="R1122" s="8"/>
      <c r="S1122" s="8"/>
      <c r="T1122" s="8"/>
      <c r="U1122" s="8"/>
      <c r="V1122" s="8"/>
      <c r="Y1122" s="8"/>
      <c r="Z1122" s="8"/>
    </row>
    <row r="1123" ht="15.75" customHeight="1">
      <c r="Q1123" s="8"/>
      <c r="R1123" s="8"/>
      <c r="S1123" s="8"/>
      <c r="T1123" s="8"/>
      <c r="U1123" s="8"/>
      <c r="V1123" s="8"/>
      <c r="Y1123" s="8"/>
      <c r="Z1123" s="8"/>
    </row>
    <row r="1124" ht="15.75" customHeight="1">
      <c r="Q1124" s="8"/>
      <c r="R1124" s="8"/>
      <c r="S1124" s="8"/>
      <c r="T1124" s="8"/>
      <c r="U1124" s="8"/>
      <c r="V1124" s="8"/>
      <c r="Y1124" s="8"/>
      <c r="Z1124" s="8"/>
    </row>
    <row r="1125" ht="15.75" customHeight="1">
      <c r="Q1125" s="8"/>
      <c r="R1125" s="8"/>
      <c r="S1125" s="8"/>
      <c r="T1125" s="8"/>
      <c r="U1125" s="8"/>
      <c r="V1125" s="8"/>
      <c r="Y1125" s="8"/>
      <c r="Z1125" s="8"/>
    </row>
    <row r="1126" ht="15.75" customHeight="1">
      <c r="Q1126" s="8"/>
      <c r="R1126" s="8"/>
      <c r="S1126" s="8"/>
      <c r="T1126" s="8"/>
      <c r="U1126" s="8"/>
      <c r="V1126" s="8"/>
      <c r="Y1126" s="8"/>
      <c r="Z1126" s="8"/>
    </row>
    <row r="1127" ht="15.75" customHeight="1">
      <c r="Q1127" s="8"/>
      <c r="R1127" s="8"/>
      <c r="S1127" s="8"/>
      <c r="T1127" s="8"/>
      <c r="U1127" s="8"/>
      <c r="V1127" s="8"/>
      <c r="Y1127" s="8"/>
      <c r="Z1127" s="8"/>
    </row>
    <row r="1128" ht="15.75" customHeight="1">
      <c r="Q1128" s="8"/>
      <c r="R1128" s="8"/>
      <c r="S1128" s="8"/>
      <c r="T1128" s="8"/>
      <c r="U1128" s="8"/>
      <c r="V1128" s="8"/>
      <c r="Y1128" s="8"/>
      <c r="Z1128" s="8"/>
    </row>
    <row r="1129" ht="15.75" customHeight="1">
      <c r="Q1129" s="8"/>
      <c r="R1129" s="8"/>
      <c r="S1129" s="8"/>
      <c r="T1129" s="8"/>
      <c r="U1129" s="8"/>
      <c r="V1129" s="8"/>
      <c r="Y1129" s="8"/>
      <c r="Z1129" s="8"/>
    </row>
    <row r="1130" ht="15.75" customHeight="1">
      <c r="Q1130" s="8"/>
      <c r="R1130" s="8"/>
      <c r="S1130" s="8"/>
      <c r="T1130" s="8"/>
      <c r="U1130" s="8"/>
      <c r="V1130" s="8"/>
      <c r="Y1130" s="8"/>
      <c r="Z1130" s="8"/>
    </row>
    <row r="1131" ht="15.75" customHeight="1">
      <c r="Q1131" s="8"/>
      <c r="R1131" s="8"/>
      <c r="S1131" s="8"/>
      <c r="T1131" s="8"/>
      <c r="U1131" s="8"/>
      <c r="V1131" s="8"/>
      <c r="Y1131" s="8"/>
      <c r="Z1131" s="8"/>
    </row>
    <row r="1132" ht="15.75" customHeight="1">
      <c r="Q1132" s="8"/>
      <c r="R1132" s="8"/>
      <c r="S1132" s="8"/>
      <c r="T1132" s="8"/>
      <c r="U1132" s="8"/>
      <c r="V1132" s="8"/>
      <c r="Y1132" s="8"/>
      <c r="Z1132" s="8"/>
    </row>
    <row r="1133" ht="15.75" customHeight="1">
      <c r="Q1133" s="8"/>
      <c r="R1133" s="8"/>
      <c r="S1133" s="8"/>
      <c r="T1133" s="8"/>
      <c r="U1133" s="8"/>
      <c r="V1133" s="8"/>
      <c r="Y1133" s="8"/>
      <c r="Z1133" s="8"/>
    </row>
    <row r="1134" ht="15.75" customHeight="1">
      <c r="Q1134" s="8"/>
      <c r="R1134" s="8"/>
      <c r="S1134" s="8"/>
      <c r="T1134" s="8"/>
      <c r="U1134" s="8"/>
      <c r="V1134" s="8"/>
      <c r="Y1134" s="8"/>
      <c r="Z1134" s="8"/>
    </row>
    <row r="1135" ht="15.75" customHeight="1">
      <c r="Q1135" s="8"/>
      <c r="R1135" s="8"/>
      <c r="S1135" s="8"/>
      <c r="T1135" s="8"/>
      <c r="U1135" s="8"/>
      <c r="V1135" s="8"/>
      <c r="Y1135" s="8"/>
      <c r="Z1135" s="8"/>
    </row>
    <row r="1136" ht="15.75" customHeight="1">
      <c r="Q1136" s="8"/>
      <c r="R1136" s="8"/>
      <c r="S1136" s="8"/>
      <c r="T1136" s="8"/>
      <c r="U1136" s="8"/>
      <c r="V1136" s="8"/>
      <c r="Y1136" s="8"/>
      <c r="Z1136" s="8"/>
    </row>
    <row r="1137" ht="15.75" customHeight="1">
      <c r="Q1137" s="8"/>
      <c r="R1137" s="8"/>
      <c r="S1137" s="8"/>
      <c r="T1137" s="8"/>
      <c r="U1137" s="8"/>
      <c r="V1137" s="8"/>
      <c r="Y1137" s="8"/>
      <c r="Z1137" s="8"/>
    </row>
    <row r="1138" ht="15.75" customHeight="1">
      <c r="Q1138" s="8"/>
      <c r="R1138" s="8"/>
      <c r="S1138" s="8"/>
      <c r="T1138" s="8"/>
      <c r="U1138" s="8"/>
      <c r="V1138" s="8"/>
      <c r="Y1138" s="8"/>
      <c r="Z1138" s="8"/>
    </row>
    <row r="1139" ht="15.75" customHeight="1">
      <c r="Q1139" s="8"/>
      <c r="R1139" s="8"/>
      <c r="S1139" s="8"/>
      <c r="T1139" s="8"/>
      <c r="U1139" s="8"/>
      <c r="V1139" s="8"/>
      <c r="Y1139" s="8"/>
      <c r="Z1139" s="8"/>
    </row>
    <row r="1140" ht="15.75" customHeight="1">
      <c r="Q1140" s="8"/>
      <c r="R1140" s="8"/>
      <c r="S1140" s="8"/>
      <c r="T1140" s="8"/>
      <c r="U1140" s="8"/>
      <c r="V1140" s="8"/>
      <c r="Y1140" s="8"/>
      <c r="Z1140" s="8"/>
    </row>
    <row r="1141" ht="15.75" customHeight="1">
      <c r="Q1141" s="8"/>
      <c r="R1141" s="8"/>
      <c r="S1141" s="8"/>
      <c r="T1141" s="8"/>
      <c r="U1141" s="8"/>
      <c r="V1141" s="8"/>
      <c r="Y1141" s="8"/>
      <c r="Z1141" s="8"/>
    </row>
    <row r="1142" ht="15.75" customHeight="1">
      <c r="Q1142" s="8"/>
      <c r="R1142" s="8"/>
      <c r="S1142" s="8"/>
      <c r="T1142" s="8"/>
      <c r="U1142" s="8"/>
      <c r="V1142" s="8"/>
      <c r="Y1142" s="8"/>
      <c r="Z1142" s="8"/>
    </row>
    <row r="1143" ht="15.75" customHeight="1">
      <c r="Q1143" s="8"/>
      <c r="R1143" s="8"/>
      <c r="S1143" s="8"/>
      <c r="T1143" s="8"/>
      <c r="U1143" s="8"/>
      <c r="V1143" s="8"/>
      <c r="Y1143" s="8"/>
      <c r="Z1143" s="8"/>
    </row>
    <row r="1144" ht="15.75" customHeight="1">
      <c r="Q1144" s="8"/>
      <c r="R1144" s="8"/>
      <c r="S1144" s="8"/>
      <c r="T1144" s="8"/>
      <c r="U1144" s="8"/>
      <c r="V1144" s="8"/>
      <c r="Y1144" s="8"/>
      <c r="Z1144" s="8"/>
    </row>
    <row r="1145" ht="15.75" customHeight="1">
      <c r="Q1145" s="8"/>
      <c r="R1145" s="8"/>
      <c r="S1145" s="8"/>
      <c r="T1145" s="8"/>
      <c r="U1145" s="8"/>
      <c r="V1145" s="8"/>
      <c r="Y1145" s="8"/>
      <c r="Z1145" s="8"/>
    </row>
    <row r="1146" ht="15.75" customHeight="1">
      <c r="Q1146" s="8"/>
      <c r="R1146" s="8"/>
      <c r="S1146" s="8"/>
      <c r="T1146" s="8"/>
      <c r="U1146" s="8"/>
      <c r="V1146" s="8"/>
      <c r="Y1146" s="8"/>
      <c r="Z1146" s="8"/>
    </row>
    <row r="1147" ht="15.75" customHeight="1">
      <c r="Q1147" s="8"/>
      <c r="R1147" s="8"/>
      <c r="S1147" s="8"/>
      <c r="T1147" s="8"/>
      <c r="U1147" s="8"/>
      <c r="V1147" s="8"/>
      <c r="Y1147" s="8"/>
      <c r="Z1147" s="8"/>
    </row>
    <row r="1148" ht="15.75" customHeight="1">
      <c r="Q1148" s="8"/>
      <c r="R1148" s="8"/>
      <c r="S1148" s="8"/>
      <c r="T1148" s="8"/>
      <c r="U1148" s="8"/>
      <c r="V1148" s="8"/>
      <c r="Y1148" s="8"/>
      <c r="Z1148" s="8"/>
    </row>
    <row r="1149" ht="15.75" customHeight="1">
      <c r="Q1149" s="8"/>
      <c r="R1149" s="8"/>
      <c r="S1149" s="8"/>
      <c r="T1149" s="8"/>
      <c r="U1149" s="8"/>
      <c r="V1149" s="8"/>
      <c r="Y1149" s="8"/>
      <c r="Z1149" s="8"/>
    </row>
    <row r="1150" ht="15.75" customHeight="1">
      <c r="Q1150" s="8"/>
      <c r="R1150" s="8"/>
      <c r="S1150" s="8"/>
      <c r="T1150" s="8"/>
      <c r="U1150" s="8"/>
      <c r="V1150" s="8"/>
      <c r="Y1150" s="8"/>
      <c r="Z1150" s="8"/>
    </row>
    <row r="1151" ht="15.75" customHeight="1">
      <c r="Q1151" s="8"/>
      <c r="R1151" s="8"/>
      <c r="S1151" s="8"/>
      <c r="T1151" s="8"/>
      <c r="U1151" s="8"/>
      <c r="V1151" s="8"/>
      <c r="Y1151" s="8"/>
      <c r="Z1151" s="8"/>
    </row>
    <row r="1152" ht="15.75" customHeight="1">
      <c r="Q1152" s="8"/>
      <c r="R1152" s="8"/>
      <c r="S1152" s="8"/>
      <c r="T1152" s="8"/>
      <c r="U1152" s="8"/>
      <c r="V1152" s="8"/>
      <c r="Y1152" s="8"/>
      <c r="Z1152" s="8"/>
    </row>
    <row r="1153" ht="15.75" customHeight="1">
      <c r="Q1153" s="8"/>
      <c r="R1153" s="8"/>
      <c r="S1153" s="8"/>
      <c r="T1153" s="8"/>
      <c r="U1153" s="8"/>
      <c r="V1153" s="8"/>
      <c r="Y1153" s="8"/>
      <c r="Z1153" s="8"/>
    </row>
    <row r="1154" ht="15.75" customHeight="1">
      <c r="Q1154" s="8"/>
      <c r="R1154" s="8"/>
      <c r="S1154" s="8"/>
      <c r="T1154" s="8"/>
      <c r="U1154" s="8"/>
      <c r="V1154" s="8"/>
      <c r="Y1154" s="8"/>
      <c r="Z1154" s="8"/>
    </row>
    <row r="1155" ht="15.75" customHeight="1">
      <c r="Q1155" s="8"/>
      <c r="R1155" s="8"/>
      <c r="S1155" s="8"/>
      <c r="T1155" s="8"/>
      <c r="U1155" s="8"/>
      <c r="V1155" s="8"/>
      <c r="Y1155" s="8"/>
      <c r="Z1155" s="8"/>
    </row>
    <row r="1156" ht="15.75" customHeight="1">
      <c r="Q1156" s="8"/>
      <c r="R1156" s="8"/>
      <c r="S1156" s="8"/>
      <c r="T1156" s="8"/>
      <c r="U1156" s="8"/>
      <c r="V1156" s="8"/>
      <c r="Y1156" s="8"/>
      <c r="Z1156" s="8"/>
    </row>
    <row r="1157" ht="15.75" customHeight="1">
      <c r="Q1157" s="8"/>
      <c r="R1157" s="8"/>
      <c r="S1157" s="8"/>
      <c r="T1157" s="8"/>
      <c r="U1157" s="8"/>
      <c r="V1157" s="8"/>
      <c r="Y1157" s="8"/>
      <c r="Z1157" s="8"/>
    </row>
    <row r="1158" ht="15.75" customHeight="1">
      <c r="Q1158" s="8"/>
      <c r="R1158" s="8"/>
      <c r="S1158" s="8"/>
      <c r="T1158" s="8"/>
      <c r="U1158" s="8"/>
      <c r="V1158" s="8"/>
      <c r="Y1158" s="8"/>
      <c r="Z1158" s="8"/>
    </row>
    <row r="1159" ht="15.75" customHeight="1">
      <c r="Q1159" s="8"/>
      <c r="R1159" s="8"/>
      <c r="S1159" s="8"/>
      <c r="T1159" s="8"/>
      <c r="U1159" s="8"/>
      <c r="V1159" s="8"/>
      <c r="Y1159" s="8"/>
      <c r="Z1159" s="8"/>
    </row>
    <row r="1160" ht="15.75" customHeight="1">
      <c r="Q1160" s="8"/>
      <c r="R1160" s="8"/>
      <c r="S1160" s="8"/>
      <c r="T1160" s="8"/>
      <c r="U1160" s="8"/>
      <c r="V1160" s="8"/>
      <c r="Y1160" s="8"/>
      <c r="Z1160" s="8"/>
    </row>
    <row r="1161" ht="15.75" customHeight="1">
      <c r="Q1161" s="8"/>
      <c r="R1161" s="8"/>
      <c r="S1161" s="8"/>
      <c r="T1161" s="8"/>
      <c r="U1161" s="8"/>
      <c r="V1161" s="8"/>
      <c r="Y1161" s="8"/>
      <c r="Z1161" s="8"/>
    </row>
    <row r="1162" ht="15.75" customHeight="1">
      <c r="Q1162" s="8"/>
      <c r="R1162" s="8"/>
      <c r="S1162" s="8"/>
      <c r="T1162" s="8"/>
      <c r="U1162" s="8"/>
      <c r="V1162" s="8"/>
      <c r="Y1162" s="8"/>
      <c r="Z1162" s="8"/>
    </row>
    <row r="1163" ht="15.75" customHeight="1">
      <c r="Q1163" s="8"/>
      <c r="R1163" s="8"/>
      <c r="S1163" s="8"/>
      <c r="T1163" s="8"/>
      <c r="U1163" s="8"/>
      <c r="V1163" s="8"/>
      <c r="Y1163" s="8"/>
      <c r="Z1163" s="8"/>
    </row>
    <row r="1164" ht="15.75" customHeight="1">
      <c r="Q1164" s="8"/>
      <c r="R1164" s="8"/>
      <c r="S1164" s="8"/>
      <c r="T1164" s="8"/>
      <c r="U1164" s="8"/>
      <c r="V1164" s="8"/>
      <c r="Y1164" s="8"/>
      <c r="Z1164" s="8"/>
    </row>
    <row r="1165" ht="15.75" customHeight="1">
      <c r="Q1165" s="8"/>
      <c r="R1165" s="8"/>
      <c r="S1165" s="8"/>
      <c r="T1165" s="8"/>
      <c r="U1165" s="8"/>
      <c r="V1165" s="8"/>
      <c r="Y1165" s="8"/>
      <c r="Z1165" s="8"/>
    </row>
    <row r="1166" ht="15.75" customHeight="1">
      <c r="Q1166" s="8"/>
      <c r="R1166" s="8"/>
      <c r="S1166" s="8"/>
      <c r="T1166" s="8"/>
      <c r="U1166" s="8"/>
      <c r="V1166" s="8"/>
      <c r="Y1166" s="8"/>
      <c r="Z1166" s="8"/>
    </row>
    <row r="1167" ht="15.75" customHeight="1">
      <c r="Q1167" s="8"/>
      <c r="R1167" s="8"/>
      <c r="S1167" s="8"/>
      <c r="T1167" s="8"/>
      <c r="U1167" s="8"/>
      <c r="V1167" s="8"/>
      <c r="Y1167" s="8"/>
      <c r="Z1167" s="8"/>
    </row>
    <row r="1168" ht="15.75" customHeight="1">
      <c r="Q1168" s="8"/>
      <c r="R1168" s="8"/>
      <c r="S1168" s="8"/>
      <c r="T1168" s="8"/>
      <c r="U1168" s="8"/>
      <c r="V1168" s="8"/>
      <c r="Y1168" s="8"/>
      <c r="Z1168" s="8"/>
    </row>
    <row r="1169" ht="15.75" customHeight="1">
      <c r="Q1169" s="8"/>
      <c r="R1169" s="8"/>
      <c r="S1169" s="8"/>
      <c r="T1169" s="8"/>
      <c r="U1169" s="8"/>
      <c r="V1169" s="8"/>
      <c r="Y1169" s="8"/>
      <c r="Z1169" s="8"/>
    </row>
    <row r="1170" ht="15.75" customHeight="1">
      <c r="Q1170" s="8"/>
      <c r="R1170" s="8"/>
      <c r="S1170" s="8"/>
      <c r="T1170" s="8"/>
      <c r="U1170" s="8"/>
      <c r="V1170" s="8"/>
      <c r="Y1170" s="8"/>
      <c r="Z1170" s="8"/>
    </row>
    <row r="1171" ht="15.75" customHeight="1">
      <c r="Q1171" s="8"/>
      <c r="R1171" s="8"/>
      <c r="S1171" s="8"/>
      <c r="T1171" s="8"/>
      <c r="U1171" s="8"/>
      <c r="V1171" s="8"/>
      <c r="Y1171" s="8"/>
      <c r="Z1171" s="8"/>
    </row>
    <row r="1172" ht="15.75" customHeight="1">
      <c r="Q1172" s="8"/>
      <c r="R1172" s="8"/>
      <c r="S1172" s="8"/>
      <c r="T1172" s="8"/>
      <c r="U1172" s="8"/>
      <c r="V1172" s="8"/>
      <c r="Y1172" s="8"/>
      <c r="Z1172" s="8"/>
    </row>
    <row r="1173" ht="15.75" customHeight="1">
      <c r="Q1173" s="8"/>
      <c r="R1173" s="8"/>
      <c r="S1173" s="8"/>
      <c r="T1173" s="8"/>
      <c r="U1173" s="8"/>
      <c r="V1173" s="8"/>
      <c r="Y1173" s="8"/>
      <c r="Z1173" s="8"/>
    </row>
    <row r="1174" ht="15.75" customHeight="1">
      <c r="Q1174" s="8"/>
      <c r="R1174" s="8"/>
      <c r="S1174" s="8"/>
      <c r="T1174" s="8"/>
      <c r="U1174" s="8"/>
      <c r="V1174" s="8"/>
      <c r="Y1174" s="8"/>
      <c r="Z1174" s="8"/>
    </row>
    <row r="1175" ht="15.75" customHeight="1">
      <c r="Q1175" s="8"/>
      <c r="R1175" s="8"/>
      <c r="S1175" s="8"/>
      <c r="T1175" s="8"/>
      <c r="U1175" s="8"/>
      <c r="V1175" s="8"/>
      <c r="Y1175" s="8"/>
      <c r="Z1175" s="8"/>
    </row>
    <row r="1176" ht="15.75" customHeight="1">
      <c r="Q1176" s="8"/>
      <c r="R1176" s="8"/>
      <c r="S1176" s="8"/>
      <c r="T1176" s="8"/>
      <c r="U1176" s="8"/>
      <c r="V1176" s="8"/>
      <c r="Y1176" s="8"/>
      <c r="Z1176" s="8"/>
    </row>
    <row r="1177" ht="15.75" customHeight="1">
      <c r="Q1177" s="8"/>
      <c r="R1177" s="8"/>
      <c r="S1177" s="8"/>
      <c r="T1177" s="8"/>
      <c r="U1177" s="8"/>
      <c r="V1177" s="8"/>
      <c r="Y1177" s="8"/>
      <c r="Z1177" s="8"/>
    </row>
    <row r="1178" ht="15.75" customHeight="1">
      <c r="Q1178" s="8"/>
      <c r="R1178" s="8"/>
      <c r="S1178" s="8"/>
      <c r="T1178" s="8"/>
      <c r="U1178" s="8"/>
      <c r="V1178" s="8"/>
      <c r="Y1178" s="8"/>
      <c r="Z1178" s="8"/>
    </row>
    <row r="1179" ht="15.75" customHeight="1">
      <c r="Q1179" s="8"/>
      <c r="R1179" s="8"/>
      <c r="S1179" s="8"/>
      <c r="T1179" s="8"/>
      <c r="U1179" s="8"/>
      <c r="V1179" s="8"/>
      <c r="Y1179" s="8"/>
      <c r="Z1179" s="8"/>
    </row>
    <row r="1180" ht="15.75" customHeight="1">
      <c r="Q1180" s="8"/>
      <c r="R1180" s="8"/>
      <c r="S1180" s="8"/>
      <c r="T1180" s="8"/>
      <c r="U1180" s="8"/>
      <c r="V1180" s="8"/>
      <c r="Y1180" s="8"/>
      <c r="Z1180" s="8"/>
    </row>
    <row r="1181" ht="15.75" customHeight="1">
      <c r="Q1181" s="8"/>
      <c r="R1181" s="8"/>
      <c r="S1181" s="8"/>
      <c r="T1181" s="8"/>
      <c r="U1181" s="8"/>
      <c r="V1181" s="8"/>
      <c r="Y1181" s="8"/>
      <c r="Z1181" s="8"/>
    </row>
    <row r="1182" ht="15.75" customHeight="1">
      <c r="Q1182" s="8"/>
      <c r="R1182" s="8"/>
      <c r="S1182" s="8"/>
      <c r="T1182" s="8"/>
      <c r="U1182" s="8"/>
      <c r="V1182" s="8"/>
      <c r="Y1182" s="8"/>
      <c r="Z1182" s="8"/>
    </row>
    <row r="1183" ht="15.75" customHeight="1">
      <c r="Q1183" s="8"/>
      <c r="R1183" s="8"/>
      <c r="S1183" s="8"/>
      <c r="T1183" s="8"/>
      <c r="U1183" s="8"/>
      <c r="V1183" s="8"/>
      <c r="Y1183" s="8"/>
      <c r="Z1183" s="8"/>
    </row>
    <row r="1184" ht="15.75" customHeight="1">
      <c r="Q1184" s="8"/>
      <c r="R1184" s="8"/>
      <c r="S1184" s="8"/>
      <c r="T1184" s="8"/>
      <c r="U1184" s="8"/>
      <c r="V1184" s="8"/>
      <c r="Y1184" s="8"/>
      <c r="Z1184" s="8"/>
    </row>
    <row r="1185" ht="15.75" customHeight="1">
      <c r="Q1185" s="8"/>
      <c r="R1185" s="8"/>
      <c r="S1185" s="8"/>
      <c r="T1185" s="8"/>
      <c r="U1185" s="8"/>
      <c r="V1185" s="8"/>
      <c r="Y1185" s="8"/>
      <c r="Z1185" s="8"/>
    </row>
    <row r="1186" ht="15.75" customHeight="1">
      <c r="Q1186" s="8"/>
      <c r="R1186" s="8"/>
      <c r="S1186" s="8"/>
      <c r="T1186" s="8"/>
      <c r="U1186" s="8"/>
      <c r="V1186" s="8"/>
      <c r="Y1186" s="8"/>
      <c r="Z1186" s="8"/>
    </row>
    <row r="1187" ht="15.75" customHeight="1">
      <c r="Q1187" s="8"/>
      <c r="R1187" s="8"/>
      <c r="S1187" s="8"/>
      <c r="T1187" s="8"/>
      <c r="U1187" s="8"/>
      <c r="V1187" s="8"/>
      <c r="Y1187" s="8"/>
      <c r="Z1187" s="8"/>
    </row>
    <row r="1188" ht="15.75" customHeight="1">
      <c r="Q1188" s="8"/>
      <c r="R1188" s="8"/>
      <c r="S1188" s="8"/>
      <c r="T1188" s="8"/>
      <c r="U1188" s="8"/>
      <c r="V1188" s="8"/>
      <c r="Y1188" s="8"/>
      <c r="Z1188" s="8"/>
    </row>
    <row r="1189" ht="15.75" customHeight="1">
      <c r="Q1189" s="8"/>
      <c r="R1189" s="8"/>
      <c r="S1189" s="8"/>
      <c r="T1189" s="8"/>
      <c r="U1189" s="8"/>
      <c r="V1189" s="8"/>
      <c r="Y1189" s="8"/>
      <c r="Z1189" s="8"/>
    </row>
    <row r="1190" ht="15.75" customHeight="1">
      <c r="Q1190" s="8"/>
      <c r="R1190" s="8"/>
      <c r="S1190" s="8"/>
      <c r="T1190" s="8"/>
      <c r="U1190" s="8"/>
      <c r="V1190" s="8"/>
      <c r="Y1190" s="8"/>
      <c r="Z1190" s="8"/>
    </row>
    <row r="1191" ht="15.75" customHeight="1">
      <c r="Q1191" s="8"/>
      <c r="R1191" s="8"/>
      <c r="S1191" s="8"/>
      <c r="T1191" s="8"/>
      <c r="U1191" s="8"/>
      <c r="V1191" s="8"/>
      <c r="Y1191" s="8"/>
      <c r="Z1191" s="8"/>
    </row>
    <row r="1192" ht="15.75" customHeight="1">
      <c r="Q1192" s="8"/>
      <c r="R1192" s="8"/>
      <c r="S1192" s="8"/>
      <c r="T1192" s="8"/>
      <c r="U1192" s="8"/>
      <c r="V1192" s="8"/>
      <c r="Y1192" s="8"/>
      <c r="Z1192" s="8"/>
    </row>
    <row r="1193" ht="15.75" customHeight="1">
      <c r="Q1193" s="8"/>
      <c r="R1193" s="8"/>
      <c r="S1193" s="8"/>
      <c r="T1193" s="8"/>
      <c r="U1193" s="8"/>
      <c r="V1193" s="8"/>
      <c r="Y1193" s="8"/>
      <c r="Z1193" s="8"/>
    </row>
    <row r="1194" ht="15.75" customHeight="1">
      <c r="Q1194" s="8"/>
      <c r="R1194" s="8"/>
      <c r="S1194" s="8"/>
      <c r="T1194" s="8"/>
      <c r="U1194" s="8"/>
      <c r="V1194" s="8"/>
      <c r="Y1194" s="8"/>
      <c r="Z1194" s="8"/>
    </row>
    <row r="1195" ht="15.75" customHeight="1">
      <c r="Q1195" s="8"/>
      <c r="R1195" s="8"/>
      <c r="S1195" s="8"/>
      <c r="T1195" s="8"/>
      <c r="U1195" s="8"/>
      <c r="V1195" s="8"/>
      <c r="Y1195" s="8"/>
      <c r="Z1195" s="8"/>
    </row>
    <row r="1196" ht="15.75" customHeight="1">
      <c r="Q1196" s="8"/>
      <c r="R1196" s="8"/>
      <c r="S1196" s="8"/>
      <c r="T1196" s="8"/>
      <c r="U1196" s="8"/>
      <c r="V1196" s="8"/>
      <c r="Y1196" s="8"/>
      <c r="Z1196" s="8"/>
    </row>
    <row r="1197" ht="15.75" customHeight="1">
      <c r="Q1197" s="8"/>
      <c r="R1197" s="8"/>
      <c r="S1197" s="8"/>
      <c r="T1197" s="8"/>
      <c r="U1197" s="8"/>
      <c r="V1197" s="8"/>
      <c r="Y1197" s="8"/>
      <c r="Z1197" s="8"/>
    </row>
    <row r="1198" ht="15.75" customHeight="1">
      <c r="Q1198" s="8"/>
      <c r="R1198" s="8"/>
      <c r="S1198" s="8"/>
      <c r="T1198" s="8"/>
      <c r="U1198" s="8"/>
      <c r="V1198" s="8"/>
      <c r="Y1198" s="8"/>
      <c r="Z1198" s="8"/>
    </row>
    <row r="1199" ht="15.75" customHeight="1">
      <c r="Q1199" s="8"/>
      <c r="R1199" s="8"/>
      <c r="S1199" s="8"/>
      <c r="T1199" s="8"/>
      <c r="U1199" s="8"/>
      <c r="V1199" s="8"/>
      <c r="Y1199" s="8"/>
      <c r="Z1199" s="8"/>
    </row>
    <row r="1200" ht="15.75" customHeight="1">
      <c r="Q1200" s="8"/>
      <c r="R1200" s="8"/>
      <c r="S1200" s="8"/>
      <c r="T1200" s="8"/>
      <c r="U1200" s="8"/>
      <c r="V1200" s="8"/>
      <c r="Y1200" s="8"/>
      <c r="Z1200" s="8"/>
    </row>
    <row r="1201" ht="15.75" customHeight="1">
      <c r="Q1201" s="8"/>
      <c r="R1201" s="8"/>
      <c r="S1201" s="8"/>
      <c r="T1201" s="8"/>
      <c r="U1201" s="8"/>
      <c r="V1201" s="8"/>
      <c r="Y1201" s="8"/>
      <c r="Z1201" s="8"/>
    </row>
    <row r="1202" ht="15.75" customHeight="1">
      <c r="Q1202" s="8"/>
      <c r="R1202" s="8"/>
      <c r="S1202" s="8"/>
      <c r="T1202" s="8"/>
      <c r="U1202" s="8"/>
      <c r="V1202" s="8"/>
      <c r="Y1202" s="8"/>
      <c r="Z1202" s="8"/>
    </row>
    <row r="1203" ht="15.75" customHeight="1">
      <c r="Q1203" s="8"/>
      <c r="R1203" s="8"/>
      <c r="S1203" s="8"/>
      <c r="T1203" s="8"/>
      <c r="U1203" s="8"/>
      <c r="V1203" s="8"/>
      <c r="Y1203" s="8"/>
      <c r="Z1203" s="8"/>
    </row>
    <row r="1204" ht="15.75" customHeight="1">
      <c r="Q1204" s="8"/>
      <c r="R1204" s="8"/>
      <c r="S1204" s="8"/>
      <c r="T1204" s="8"/>
      <c r="U1204" s="8"/>
      <c r="V1204" s="8"/>
      <c r="Y1204" s="8"/>
      <c r="Z1204" s="8"/>
    </row>
    <row r="1205" ht="15.75" customHeight="1">
      <c r="Q1205" s="8"/>
      <c r="R1205" s="8"/>
      <c r="S1205" s="8"/>
      <c r="T1205" s="8"/>
      <c r="U1205" s="8"/>
      <c r="V1205" s="8"/>
      <c r="Y1205" s="8"/>
      <c r="Z1205" s="8"/>
    </row>
    <row r="1206" ht="15.75" customHeight="1">
      <c r="Q1206" s="8"/>
      <c r="R1206" s="8"/>
      <c r="S1206" s="8"/>
      <c r="T1206" s="8"/>
      <c r="U1206" s="8"/>
      <c r="V1206" s="8"/>
      <c r="Y1206" s="8"/>
      <c r="Z1206" s="8"/>
    </row>
    <row r="1207" ht="15.75" customHeight="1">
      <c r="Q1207" s="8"/>
      <c r="R1207" s="8"/>
      <c r="S1207" s="8"/>
      <c r="T1207" s="8"/>
      <c r="U1207" s="8"/>
      <c r="V1207" s="8"/>
      <c r="Y1207" s="8"/>
      <c r="Z1207" s="8"/>
    </row>
    <row r="1208" ht="15.75" customHeight="1">
      <c r="Q1208" s="8"/>
      <c r="R1208" s="8"/>
      <c r="S1208" s="8"/>
      <c r="T1208" s="8"/>
      <c r="U1208" s="8"/>
      <c r="V1208" s="8"/>
      <c r="Y1208" s="8"/>
      <c r="Z1208" s="8"/>
    </row>
    <row r="1209" ht="15.75" customHeight="1">
      <c r="Q1209" s="8"/>
      <c r="R1209" s="8"/>
      <c r="S1209" s="8"/>
      <c r="T1209" s="8"/>
      <c r="U1209" s="8"/>
      <c r="V1209" s="8"/>
      <c r="Y1209" s="8"/>
      <c r="Z1209" s="8"/>
    </row>
    <row r="1210" ht="15.75" customHeight="1">
      <c r="Q1210" s="8"/>
      <c r="R1210" s="8"/>
      <c r="S1210" s="8"/>
      <c r="T1210" s="8"/>
      <c r="U1210" s="8"/>
      <c r="V1210" s="8"/>
      <c r="Y1210" s="8"/>
      <c r="Z1210" s="8"/>
    </row>
    <row r="1211" ht="15.75" customHeight="1">
      <c r="Q1211" s="8"/>
      <c r="R1211" s="8"/>
      <c r="S1211" s="8"/>
      <c r="T1211" s="8"/>
      <c r="U1211" s="8"/>
      <c r="V1211" s="8"/>
      <c r="Y1211" s="8"/>
      <c r="Z1211" s="8"/>
    </row>
    <row r="1212" ht="15.75" customHeight="1">
      <c r="Q1212" s="8"/>
      <c r="R1212" s="8"/>
      <c r="S1212" s="8"/>
      <c r="T1212" s="8"/>
      <c r="U1212" s="8"/>
      <c r="V1212" s="8"/>
      <c r="Y1212" s="8"/>
      <c r="Z1212" s="8"/>
    </row>
    <row r="1213" ht="15.75" customHeight="1">
      <c r="Q1213" s="8"/>
      <c r="R1213" s="8"/>
      <c r="S1213" s="8"/>
      <c r="T1213" s="8"/>
      <c r="U1213" s="8"/>
      <c r="V1213" s="8"/>
      <c r="Y1213" s="8"/>
      <c r="Z1213" s="8"/>
    </row>
    <row r="1214" ht="15.75" customHeight="1">
      <c r="Q1214" s="8"/>
      <c r="R1214" s="8"/>
      <c r="S1214" s="8"/>
      <c r="T1214" s="8"/>
      <c r="U1214" s="8"/>
      <c r="V1214" s="8"/>
      <c r="Y1214" s="8"/>
      <c r="Z1214" s="8"/>
    </row>
    <row r="1215" ht="15.75" customHeight="1">
      <c r="Q1215" s="8"/>
      <c r="R1215" s="8"/>
      <c r="S1215" s="8"/>
      <c r="T1215" s="8"/>
      <c r="U1215" s="8"/>
      <c r="V1215" s="8"/>
      <c r="Y1215" s="8"/>
      <c r="Z1215" s="8"/>
    </row>
    <row r="1216" ht="15.75" customHeight="1">
      <c r="Q1216" s="8"/>
      <c r="R1216" s="8"/>
      <c r="S1216" s="8"/>
      <c r="T1216" s="8"/>
      <c r="U1216" s="8"/>
      <c r="V1216" s="8"/>
      <c r="Y1216" s="8"/>
      <c r="Z1216" s="8"/>
    </row>
    <row r="1217" ht="15.75" customHeight="1">
      <c r="Q1217" s="8"/>
      <c r="R1217" s="8"/>
      <c r="S1217" s="8"/>
      <c r="T1217" s="8"/>
      <c r="U1217" s="8"/>
      <c r="V1217" s="8"/>
      <c r="Y1217" s="8"/>
      <c r="Z1217" s="8"/>
    </row>
    <row r="1218" ht="15.75" customHeight="1">
      <c r="Q1218" s="8"/>
      <c r="R1218" s="8"/>
      <c r="S1218" s="8"/>
      <c r="T1218" s="8"/>
      <c r="U1218" s="8"/>
      <c r="V1218" s="8"/>
      <c r="Y1218" s="8"/>
      <c r="Z1218" s="8"/>
    </row>
    <row r="1219" ht="15.75" customHeight="1">
      <c r="Q1219" s="8"/>
      <c r="R1219" s="8"/>
      <c r="S1219" s="8"/>
      <c r="T1219" s="8"/>
      <c r="U1219" s="8"/>
      <c r="V1219" s="8"/>
      <c r="Y1219" s="8"/>
      <c r="Z1219" s="8"/>
    </row>
    <row r="1220" ht="15.75" customHeight="1">
      <c r="Q1220" s="8"/>
      <c r="R1220" s="8"/>
      <c r="S1220" s="8"/>
      <c r="T1220" s="8"/>
      <c r="U1220" s="8"/>
      <c r="V1220" s="8"/>
      <c r="Y1220" s="8"/>
      <c r="Z1220" s="8"/>
    </row>
    <row r="1221" ht="15.75" customHeight="1">
      <c r="Q1221" s="8"/>
      <c r="R1221" s="8"/>
      <c r="S1221" s="8"/>
      <c r="T1221" s="8"/>
      <c r="U1221" s="8"/>
      <c r="V1221" s="8"/>
      <c r="Y1221" s="8"/>
      <c r="Z1221" s="8"/>
    </row>
    <row r="1222" ht="15.75" customHeight="1">
      <c r="Q1222" s="8"/>
      <c r="R1222" s="8"/>
      <c r="S1222" s="8"/>
      <c r="T1222" s="8"/>
      <c r="U1222" s="8"/>
      <c r="V1222" s="8"/>
      <c r="Y1222" s="8"/>
      <c r="Z1222" s="8"/>
    </row>
    <row r="1223" ht="15.75" customHeight="1">
      <c r="Q1223" s="8"/>
      <c r="R1223" s="8"/>
      <c r="S1223" s="8"/>
      <c r="T1223" s="8"/>
      <c r="U1223" s="8"/>
      <c r="V1223" s="8"/>
      <c r="Y1223" s="8"/>
      <c r="Z1223" s="8"/>
    </row>
    <row r="1224" ht="15.75" customHeight="1">
      <c r="Q1224" s="8"/>
      <c r="R1224" s="8"/>
      <c r="S1224" s="8"/>
      <c r="T1224" s="8"/>
      <c r="U1224" s="8"/>
      <c r="V1224" s="8"/>
      <c r="Y1224" s="8"/>
      <c r="Z1224" s="8"/>
    </row>
    <row r="1225" ht="15.75" customHeight="1">
      <c r="Q1225" s="8"/>
      <c r="R1225" s="8"/>
      <c r="S1225" s="8"/>
      <c r="T1225" s="8"/>
      <c r="U1225" s="8"/>
      <c r="V1225" s="8"/>
      <c r="Y1225" s="8"/>
      <c r="Z1225" s="8"/>
    </row>
    <row r="1226" ht="15.75" customHeight="1">
      <c r="Q1226" s="8"/>
      <c r="R1226" s="8"/>
      <c r="S1226" s="8"/>
      <c r="T1226" s="8"/>
      <c r="U1226" s="8"/>
      <c r="V1226" s="8"/>
      <c r="Y1226" s="8"/>
      <c r="Z1226" s="8"/>
    </row>
    <row r="1227" ht="15.75" customHeight="1">
      <c r="Q1227" s="8"/>
      <c r="R1227" s="8"/>
      <c r="S1227" s="8"/>
      <c r="T1227" s="8"/>
      <c r="U1227" s="8"/>
      <c r="V1227" s="8"/>
      <c r="Y1227" s="8"/>
      <c r="Z1227" s="8"/>
    </row>
    <row r="1228" ht="15.75" customHeight="1">
      <c r="Q1228" s="8"/>
      <c r="R1228" s="8"/>
      <c r="S1228" s="8"/>
      <c r="T1228" s="8"/>
      <c r="U1228" s="8"/>
      <c r="V1228" s="8"/>
      <c r="Y1228" s="8"/>
      <c r="Z1228" s="8"/>
    </row>
    <row r="1229" ht="15.75" customHeight="1">
      <c r="Q1229" s="8"/>
      <c r="R1229" s="8"/>
      <c r="S1229" s="8"/>
      <c r="T1229" s="8"/>
      <c r="U1229" s="8"/>
      <c r="V1229" s="8"/>
      <c r="Y1229" s="8"/>
      <c r="Z1229" s="8"/>
    </row>
    <row r="1230" ht="15.75" customHeight="1">
      <c r="Q1230" s="8"/>
      <c r="R1230" s="8"/>
      <c r="S1230" s="8"/>
      <c r="T1230" s="8"/>
      <c r="U1230" s="8"/>
      <c r="V1230" s="8"/>
      <c r="Y1230" s="8"/>
      <c r="Z1230" s="8"/>
    </row>
    <row r="1231" ht="15.75" customHeight="1">
      <c r="Q1231" s="8"/>
      <c r="R1231" s="8"/>
      <c r="S1231" s="8"/>
      <c r="T1231" s="8"/>
      <c r="U1231" s="8"/>
      <c r="V1231" s="8"/>
      <c r="Y1231" s="8"/>
      <c r="Z1231" s="8"/>
    </row>
    <row r="1232" ht="15.75" customHeight="1">
      <c r="Q1232" s="8"/>
      <c r="R1232" s="8"/>
      <c r="S1232" s="8"/>
      <c r="T1232" s="8"/>
      <c r="U1232" s="8"/>
      <c r="V1232" s="8"/>
      <c r="Y1232" s="8"/>
      <c r="Z1232" s="8"/>
    </row>
    <row r="1233" ht="15.75" customHeight="1">
      <c r="Q1233" s="8"/>
      <c r="R1233" s="8"/>
      <c r="S1233" s="8"/>
      <c r="T1233" s="8"/>
      <c r="U1233" s="8"/>
      <c r="V1233" s="8"/>
      <c r="Y1233" s="8"/>
      <c r="Z1233" s="8"/>
    </row>
    <row r="1234" ht="15.75" customHeight="1">
      <c r="Q1234" s="8"/>
      <c r="R1234" s="8"/>
      <c r="S1234" s="8"/>
      <c r="T1234" s="8"/>
      <c r="U1234" s="8"/>
      <c r="V1234" s="8"/>
      <c r="Y1234" s="8"/>
      <c r="Z1234" s="8"/>
    </row>
    <row r="1235" ht="15.75" customHeight="1">
      <c r="Q1235" s="8"/>
      <c r="R1235" s="8"/>
      <c r="S1235" s="8"/>
      <c r="T1235" s="8"/>
      <c r="U1235" s="8"/>
      <c r="V1235" s="8"/>
      <c r="Y1235" s="8"/>
      <c r="Z1235" s="8"/>
    </row>
    <row r="1236" ht="15.75" customHeight="1">
      <c r="Q1236" s="8"/>
      <c r="R1236" s="8"/>
      <c r="S1236" s="8"/>
      <c r="T1236" s="8"/>
      <c r="U1236" s="8"/>
      <c r="V1236" s="8"/>
      <c r="Y1236" s="8"/>
      <c r="Z1236" s="8"/>
    </row>
    <row r="1237" ht="15.75" customHeight="1">
      <c r="Q1237" s="8"/>
      <c r="R1237" s="8"/>
      <c r="S1237" s="8"/>
      <c r="T1237" s="8"/>
      <c r="U1237" s="8"/>
      <c r="V1237" s="8"/>
      <c r="Y1237" s="8"/>
      <c r="Z1237" s="8"/>
    </row>
    <row r="1238" ht="15.75" customHeight="1">
      <c r="Q1238" s="8"/>
      <c r="R1238" s="8"/>
      <c r="S1238" s="8"/>
      <c r="T1238" s="8"/>
      <c r="U1238" s="8"/>
      <c r="V1238" s="8"/>
      <c r="Y1238" s="8"/>
      <c r="Z1238" s="8"/>
    </row>
    <row r="1239" ht="15.75" customHeight="1">
      <c r="Q1239" s="8"/>
      <c r="R1239" s="8"/>
      <c r="S1239" s="8"/>
      <c r="T1239" s="8"/>
      <c r="U1239" s="8"/>
      <c r="V1239" s="8"/>
      <c r="Y1239" s="8"/>
      <c r="Z1239" s="8"/>
    </row>
    <row r="1240" ht="15.75" customHeight="1">
      <c r="Q1240" s="8"/>
      <c r="R1240" s="8"/>
      <c r="S1240" s="8"/>
      <c r="T1240" s="8"/>
      <c r="U1240" s="8"/>
      <c r="V1240" s="8"/>
      <c r="Y1240" s="8"/>
      <c r="Z1240" s="8"/>
    </row>
    <row r="1241" ht="15.75" customHeight="1">
      <c r="Q1241" s="8"/>
      <c r="R1241" s="8"/>
      <c r="S1241" s="8"/>
      <c r="T1241" s="8"/>
      <c r="U1241" s="8"/>
      <c r="V1241" s="8"/>
      <c r="Y1241" s="8"/>
      <c r="Z1241" s="8"/>
    </row>
    <row r="1242" ht="15.75" customHeight="1">
      <c r="Q1242" s="8"/>
      <c r="R1242" s="8"/>
      <c r="S1242" s="8"/>
      <c r="T1242" s="8"/>
      <c r="U1242" s="8"/>
      <c r="V1242" s="8"/>
      <c r="Y1242" s="8"/>
      <c r="Z1242" s="8"/>
    </row>
    <row r="1243" ht="15.75" customHeight="1">
      <c r="Q1243" s="8"/>
      <c r="R1243" s="8"/>
      <c r="S1243" s="8"/>
      <c r="T1243" s="8"/>
      <c r="U1243" s="8"/>
      <c r="V1243" s="8"/>
      <c r="Y1243" s="8"/>
      <c r="Z1243" s="8"/>
    </row>
    <row r="1244" ht="15.75" customHeight="1">
      <c r="Q1244" s="8"/>
      <c r="R1244" s="8"/>
      <c r="S1244" s="8"/>
      <c r="T1244" s="8"/>
      <c r="U1244" s="8"/>
      <c r="V1244" s="8"/>
      <c r="Y1244" s="8"/>
      <c r="Z1244" s="8"/>
    </row>
    <row r="1245" ht="15.75" customHeight="1">
      <c r="Q1245" s="8"/>
      <c r="R1245" s="8"/>
      <c r="S1245" s="8"/>
      <c r="T1245" s="8"/>
      <c r="U1245" s="8"/>
      <c r="V1245" s="8"/>
      <c r="Y1245" s="8"/>
      <c r="Z1245" s="8"/>
    </row>
    <row r="1246" ht="15.75" customHeight="1">
      <c r="Q1246" s="8"/>
      <c r="R1246" s="8"/>
      <c r="S1246" s="8"/>
      <c r="T1246" s="8"/>
      <c r="U1246" s="8"/>
      <c r="V1246" s="8"/>
      <c r="Y1246" s="8"/>
      <c r="Z1246" s="8"/>
    </row>
    <row r="1247" ht="15.75" customHeight="1">
      <c r="Q1247" s="8"/>
      <c r="R1247" s="8"/>
      <c r="S1247" s="8"/>
      <c r="T1247" s="8"/>
      <c r="U1247" s="8"/>
      <c r="V1247" s="8"/>
      <c r="Y1247" s="8"/>
      <c r="Z1247" s="8"/>
    </row>
    <row r="1248" ht="15.75" customHeight="1">
      <c r="Q1248" s="8"/>
      <c r="R1248" s="8"/>
      <c r="S1248" s="8"/>
      <c r="T1248" s="8"/>
      <c r="U1248" s="8"/>
      <c r="V1248" s="8"/>
      <c r="Y1248" s="8"/>
      <c r="Z1248" s="8"/>
    </row>
    <row r="1249" ht="15.75" customHeight="1">
      <c r="Q1249" s="8"/>
      <c r="R1249" s="8"/>
      <c r="S1249" s="8"/>
      <c r="T1249" s="8"/>
      <c r="U1249" s="8"/>
      <c r="V1249" s="8"/>
      <c r="Y1249" s="8"/>
      <c r="Z1249" s="8"/>
    </row>
    <row r="1250" ht="15.75" customHeight="1">
      <c r="Q1250" s="8"/>
      <c r="R1250" s="8"/>
      <c r="S1250" s="8"/>
      <c r="T1250" s="8"/>
      <c r="U1250" s="8"/>
      <c r="V1250" s="8"/>
      <c r="Y1250" s="8"/>
      <c r="Z1250" s="8"/>
    </row>
    <row r="1251" ht="15.75" customHeight="1">
      <c r="Q1251" s="8"/>
      <c r="R1251" s="8"/>
      <c r="S1251" s="8"/>
      <c r="T1251" s="8"/>
      <c r="U1251" s="8"/>
      <c r="V1251" s="8"/>
      <c r="Y1251" s="8"/>
      <c r="Z1251" s="8"/>
    </row>
    <row r="1252" ht="15.75" customHeight="1">
      <c r="Q1252" s="8"/>
      <c r="R1252" s="8"/>
      <c r="S1252" s="8"/>
      <c r="T1252" s="8"/>
      <c r="U1252" s="8"/>
      <c r="V1252" s="8"/>
      <c r="Y1252" s="8"/>
      <c r="Z1252" s="8"/>
    </row>
    <row r="1253" ht="15.75" customHeight="1">
      <c r="Q1253" s="8"/>
      <c r="R1253" s="8"/>
      <c r="S1253" s="8"/>
      <c r="T1253" s="8"/>
      <c r="U1253" s="8"/>
      <c r="V1253" s="8"/>
      <c r="Y1253" s="8"/>
      <c r="Z1253" s="8"/>
    </row>
    <row r="1254" ht="15.75" customHeight="1">
      <c r="Q1254" s="8"/>
      <c r="R1254" s="8"/>
      <c r="S1254" s="8"/>
      <c r="T1254" s="8"/>
      <c r="U1254" s="8"/>
      <c r="V1254" s="8"/>
      <c r="Y1254" s="8"/>
      <c r="Z1254" s="8"/>
    </row>
    <row r="1255" ht="15.75" customHeight="1">
      <c r="Q1255" s="8"/>
      <c r="R1255" s="8"/>
      <c r="S1255" s="8"/>
      <c r="T1255" s="8"/>
      <c r="U1255" s="8"/>
      <c r="V1255" s="8"/>
      <c r="Y1255" s="8"/>
      <c r="Z1255" s="8"/>
    </row>
    <row r="1256" ht="15.75" customHeight="1">
      <c r="Q1256" s="8"/>
      <c r="R1256" s="8"/>
      <c r="S1256" s="8"/>
      <c r="T1256" s="8"/>
      <c r="U1256" s="8"/>
      <c r="V1256" s="8"/>
      <c r="Y1256" s="8"/>
      <c r="Z1256" s="8"/>
    </row>
    <row r="1257" ht="15.75" customHeight="1">
      <c r="Q1257" s="8"/>
      <c r="R1257" s="8"/>
      <c r="S1257" s="8"/>
      <c r="T1257" s="8"/>
      <c r="U1257" s="8"/>
      <c r="V1257" s="8"/>
      <c r="Y1257" s="8"/>
      <c r="Z1257" s="8"/>
    </row>
    <row r="1258" ht="15.75" customHeight="1">
      <c r="Q1258" s="8"/>
      <c r="R1258" s="8"/>
      <c r="S1258" s="8"/>
      <c r="T1258" s="8"/>
      <c r="U1258" s="8"/>
      <c r="V1258" s="8"/>
      <c r="Y1258" s="8"/>
      <c r="Z1258" s="8"/>
    </row>
    <row r="1259" ht="15.75" customHeight="1">
      <c r="Q1259" s="8"/>
      <c r="R1259" s="8"/>
      <c r="S1259" s="8"/>
      <c r="T1259" s="8"/>
      <c r="U1259" s="8"/>
      <c r="V1259" s="8"/>
      <c r="Y1259" s="8"/>
      <c r="Z1259" s="8"/>
    </row>
    <row r="1260" ht="15.75" customHeight="1">
      <c r="Q1260" s="8"/>
      <c r="R1260" s="8"/>
      <c r="S1260" s="8"/>
      <c r="T1260" s="8"/>
      <c r="U1260" s="8"/>
      <c r="V1260" s="8"/>
      <c r="Y1260" s="8"/>
      <c r="Z1260" s="8"/>
    </row>
    <row r="1261" ht="15.75" customHeight="1">
      <c r="Q1261" s="8"/>
      <c r="R1261" s="8"/>
      <c r="S1261" s="8"/>
      <c r="T1261" s="8"/>
      <c r="U1261" s="8"/>
      <c r="V1261" s="8"/>
      <c r="Y1261" s="8"/>
      <c r="Z1261" s="8"/>
    </row>
    <row r="1262" ht="15.75" customHeight="1">
      <c r="Q1262" s="8"/>
      <c r="R1262" s="8"/>
      <c r="S1262" s="8"/>
      <c r="T1262" s="8"/>
      <c r="U1262" s="8"/>
      <c r="V1262" s="8"/>
      <c r="Y1262" s="8"/>
      <c r="Z1262" s="8"/>
    </row>
    <row r="1263" ht="15.75" customHeight="1">
      <c r="Q1263" s="8"/>
      <c r="R1263" s="8"/>
      <c r="S1263" s="8"/>
      <c r="T1263" s="8"/>
      <c r="U1263" s="8"/>
      <c r="V1263" s="8"/>
      <c r="Y1263" s="8"/>
      <c r="Z1263" s="8"/>
    </row>
    <row r="1264" ht="15.75" customHeight="1">
      <c r="Q1264" s="8"/>
      <c r="R1264" s="8"/>
      <c r="S1264" s="8"/>
      <c r="T1264" s="8"/>
      <c r="U1264" s="8"/>
      <c r="V1264" s="8"/>
      <c r="Y1264" s="8"/>
      <c r="Z1264" s="8"/>
    </row>
    <row r="1265" ht="15.75" customHeight="1">
      <c r="Q1265" s="8"/>
      <c r="R1265" s="8"/>
      <c r="S1265" s="8"/>
      <c r="T1265" s="8"/>
      <c r="U1265" s="8"/>
      <c r="V1265" s="8"/>
      <c r="Y1265" s="8"/>
      <c r="Z1265" s="8"/>
    </row>
    <row r="1266" ht="15.75" customHeight="1">
      <c r="Q1266" s="8"/>
      <c r="R1266" s="8"/>
      <c r="S1266" s="8"/>
      <c r="T1266" s="8"/>
      <c r="U1266" s="8"/>
      <c r="V1266" s="8"/>
      <c r="Y1266" s="8"/>
      <c r="Z1266" s="8"/>
    </row>
    <row r="1267" ht="15.75" customHeight="1">
      <c r="Q1267" s="8"/>
      <c r="R1267" s="8"/>
      <c r="S1267" s="8"/>
      <c r="T1267" s="8"/>
      <c r="U1267" s="8"/>
      <c r="V1267" s="8"/>
      <c r="Y1267" s="8"/>
      <c r="Z1267" s="8"/>
    </row>
    <row r="1268" ht="15.75" customHeight="1">
      <c r="Q1268" s="8"/>
      <c r="R1268" s="8"/>
      <c r="S1268" s="8"/>
      <c r="T1268" s="8"/>
      <c r="U1268" s="8"/>
      <c r="V1268" s="8"/>
      <c r="Y1268" s="8"/>
      <c r="Z1268" s="8"/>
    </row>
    <row r="1269" ht="15.75" customHeight="1">
      <c r="Q1269" s="8"/>
      <c r="R1269" s="8"/>
      <c r="S1269" s="8"/>
      <c r="T1269" s="8"/>
      <c r="U1269" s="8"/>
      <c r="V1269" s="8"/>
      <c r="Y1269" s="8"/>
      <c r="Z1269" s="8"/>
    </row>
    <row r="1270" ht="15.75" customHeight="1">
      <c r="Q1270" s="8"/>
      <c r="R1270" s="8"/>
      <c r="S1270" s="8"/>
      <c r="T1270" s="8"/>
      <c r="U1270" s="8"/>
      <c r="V1270" s="8"/>
      <c r="Y1270" s="8"/>
      <c r="Z1270" s="8"/>
    </row>
    <row r="1271" ht="15.75" customHeight="1">
      <c r="Q1271" s="8"/>
      <c r="R1271" s="8"/>
      <c r="S1271" s="8"/>
      <c r="T1271" s="8"/>
      <c r="U1271" s="8"/>
      <c r="V1271" s="8"/>
      <c r="Y1271" s="8"/>
      <c r="Z1271" s="8"/>
    </row>
    <row r="1272" ht="15.75" customHeight="1">
      <c r="Q1272" s="8"/>
      <c r="R1272" s="8"/>
      <c r="S1272" s="8"/>
      <c r="T1272" s="8"/>
      <c r="U1272" s="8"/>
      <c r="V1272" s="8"/>
      <c r="Y1272" s="8"/>
      <c r="Z1272" s="8"/>
    </row>
    <row r="1273" ht="15.75" customHeight="1">
      <c r="Q1273" s="8"/>
      <c r="R1273" s="8"/>
      <c r="S1273" s="8"/>
      <c r="T1273" s="8"/>
      <c r="U1273" s="8"/>
      <c r="V1273" s="8"/>
      <c r="Y1273" s="8"/>
      <c r="Z1273" s="8"/>
    </row>
    <row r="1274" ht="15.75" customHeight="1">
      <c r="Q1274" s="8"/>
      <c r="R1274" s="8"/>
      <c r="S1274" s="8"/>
      <c r="T1274" s="8"/>
      <c r="U1274" s="8"/>
      <c r="V1274" s="8"/>
      <c r="Y1274" s="8"/>
      <c r="Z1274" s="8"/>
    </row>
    <row r="1275" ht="15.75" customHeight="1">
      <c r="Q1275" s="8"/>
      <c r="R1275" s="8"/>
      <c r="S1275" s="8"/>
      <c r="T1275" s="8"/>
      <c r="U1275" s="8"/>
      <c r="V1275" s="8"/>
      <c r="Y1275" s="8"/>
      <c r="Z1275" s="8"/>
    </row>
    <row r="1276" ht="15.75" customHeight="1">
      <c r="Q1276" s="8"/>
      <c r="R1276" s="8"/>
      <c r="S1276" s="8"/>
      <c r="T1276" s="8"/>
      <c r="U1276" s="8"/>
      <c r="V1276" s="8"/>
      <c r="Y1276" s="8"/>
      <c r="Z1276" s="8"/>
    </row>
    <row r="1277" ht="15.75" customHeight="1">
      <c r="Q1277" s="8"/>
      <c r="R1277" s="8"/>
      <c r="S1277" s="8"/>
      <c r="T1277" s="8"/>
      <c r="U1277" s="8"/>
      <c r="V1277" s="8"/>
      <c r="Y1277" s="8"/>
      <c r="Z1277" s="8"/>
    </row>
    <row r="1278" ht="15.75" customHeight="1">
      <c r="Q1278" s="8"/>
      <c r="R1278" s="8"/>
      <c r="S1278" s="8"/>
      <c r="T1278" s="8"/>
      <c r="U1278" s="8"/>
      <c r="V1278" s="8"/>
      <c r="Y1278" s="8"/>
      <c r="Z1278" s="8"/>
    </row>
    <row r="1279" ht="15.75" customHeight="1">
      <c r="Q1279" s="8"/>
      <c r="R1279" s="8"/>
      <c r="S1279" s="8"/>
      <c r="T1279" s="8"/>
      <c r="U1279" s="8"/>
      <c r="V1279" s="8"/>
      <c r="Y1279" s="8"/>
      <c r="Z1279" s="8"/>
    </row>
    <row r="1280" ht="15.75" customHeight="1">
      <c r="Q1280" s="8"/>
      <c r="R1280" s="8"/>
      <c r="S1280" s="8"/>
      <c r="T1280" s="8"/>
      <c r="U1280" s="8"/>
      <c r="V1280" s="8"/>
      <c r="Y1280" s="8"/>
      <c r="Z1280" s="8"/>
    </row>
    <row r="1281" ht="15.75" customHeight="1">
      <c r="Q1281" s="8"/>
      <c r="R1281" s="8"/>
      <c r="S1281" s="8"/>
      <c r="T1281" s="8"/>
      <c r="U1281" s="8"/>
      <c r="V1281" s="8"/>
      <c r="Y1281" s="8"/>
      <c r="Z1281" s="8"/>
    </row>
    <row r="1282" ht="15.75" customHeight="1">
      <c r="Q1282" s="8"/>
      <c r="R1282" s="8"/>
      <c r="S1282" s="8"/>
      <c r="T1282" s="8"/>
      <c r="U1282" s="8"/>
      <c r="V1282" s="8"/>
      <c r="Y1282" s="8"/>
      <c r="Z1282" s="8"/>
    </row>
    <row r="1283" ht="15.75" customHeight="1">
      <c r="Q1283" s="8"/>
      <c r="R1283" s="8"/>
      <c r="S1283" s="8"/>
      <c r="T1283" s="8"/>
      <c r="U1283" s="8"/>
      <c r="V1283" s="8"/>
      <c r="Y1283" s="8"/>
      <c r="Z1283" s="8"/>
    </row>
    <row r="1284" ht="15.75" customHeight="1">
      <c r="Q1284" s="8"/>
      <c r="R1284" s="8"/>
      <c r="S1284" s="8"/>
      <c r="T1284" s="8"/>
      <c r="U1284" s="8"/>
      <c r="V1284" s="8"/>
      <c r="Y1284" s="8"/>
      <c r="Z1284" s="8"/>
    </row>
    <row r="1285" ht="15.75" customHeight="1">
      <c r="Q1285" s="8"/>
      <c r="R1285" s="8"/>
      <c r="S1285" s="8"/>
      <c r="T1285" s="8"/>
      <c r="U1285" s="8"/>
      <c r="V1285" s="8"/>
      <c r="Y1285" s="8"/>
      <c r="Z1285" s="8"/>
    </row>
    <row r="1286" ht="15.75" customHeight="1">
      <c r="Q1286" s="8"/>
      <c r="R1286" s="8"/>
      <c r="S1286" s="8"/>
      <c r="T1286" s="8"/>
      <c r="U1286" s="8"/>
      <c r="V1286" s="8"/>
      <c r="Y1286" s="8"/>
      <c r="Z1286" s="8"/>
    </row>
    <row r="1287" ht="15.75" customHeight="1">
      <c r="Q1287" s="8"/>
      <c r="R1287" s="8"/>
      <c r="S1287" s="8"/>
      <c r="T1287" s="8"/>
      <c r="U1287" s="8"/>
      <c r="V1287" s="8"/>
      <c r="Y1287" s="8"/>
      <c r="Z1287" s="8"/>
    </row>
    <row r="1288" ht="15.75" customHeight="1">
      <c r="Q1288" s="8"/>
      <c r="R1288" s="8"/>
      <c r="S1288" s="8"/>
      <c r="T1288" s="8"/>
      <c r="U1288" s="8"/>
      <c r="V1288" s="8"/>
      <c r="Y1288" s="8"/>
      <c r="Z1288" s="8"/>
    </row>
    <row r="1289" ht="15.75" customHeight="1">
      <c r="Q1289" s="8"/>
      <c r="R1289" s="8"/>
      <c r="S1289" s="8"/>
      <c r="T1289" s="8"/>
      <c r="U1289" s="8"/>
      <c r="V1289" s="8"/>
      <c r="Y1289" s="8"/>
      <c r="Z1289" s="8"/>
    </row>
    <row r="1290" ht="15.75" customHeight="1">
      <c r="Q1290" s="8"/>
      <c r="R1290" s="8"/>
      <c r="S1290" s="8"/>
      <c r="T1290" s="8"/>
      <c r="U1290" s="8"/>
      <c r="V1290" s="8"/>
      <c r="Y1290" s="8"/>
      <c r="Z1290" s="8"/>
    </row>
    <row r="1291" ht="15.75" customHeight="1">
      <c r="Q1291" s="8"/>
      <c r="R1291" s="8"/>
      <c r="S1291" s="8"/>
      <c r="T1291" s="8"/>
      <c r="U1291" s="8"/>
      <c r="V1291" s="8"/>
      <c r="Y1291" s="8"/>
      <c r="Z1291" s="8"/>
    </row>
    <row r="1292" ht="15.75" customHeight="1">
      <c r="Q1292" s="8"/>
      <c r="R1292" s="8"/>
      <c r="S1292" s="8"/>
      <c r="T1292" s="8"/>
      <c r="U1292" s="8"/>
      <c r="V1292" s="8"/>
      <c r="Y1292" s="8"/>
      <c r="Z1292" s="8"/>
    </row>
    <row r="1293" ht="15.75" customHeight="1">
      <c r="Q1293" s="8"/>
      <c r="R1293" s="8"/>
      <c r="S1293" s="8"/>
      <c r="T1293" s="8"/>
      <c r="U1293" s="8"/>
      <c r="V1293" s="8"/>
      <c r="Y1293" s="8"/>
      <c r="Z1293" s="8"/>
    </row>
    <row r="1294" ht="15.75" customHeight="1">
      <c r="Q1294" s="8"/>
      <c r="R1294" s="8"/>
      <c r="S1294" s="8"/>
      <c r="T1294" s="8"/>
      <c r="U1294" s="8"/>
      <c r="V1294" s="8"/>
      <c r="Y1294" s="8"/>
      <c r="Z1294" s="8"/>
    </row>
    <row r="1295" ht="15.75" customHeight="1">
      <c r="Q1295" s="8"/>
      <c r="R1295" s="8"/>
      <c r="S1295" s="8"/>
      <c r="T1295" s="8"/>
      <c r="U1295" s="8"/>
      <c r="V1295" s="8"/>
      <c r="Y1295" s="8"/>
      <c r="Z1295" s="8"/>
    </row>
    <row r="1296" ht="15.75" customHeight="1">
      <c r="Q1296" s="8"/>
      <c r="R1296" s="8"/>
      <c r="S1296" s="8"/>
      <c r="T1296" s="8"/>
      <c r="U1296" s="8"/>
      <c r="V1296" s="8"/>
      <c r="Y1296" s="8"/>
      <c r="Z1296" s="8"/>
    </row>
    <row r="1297" ht="15.75" customHeight="1">
      <c r="Q1297" s="8"/>
      <c r="R1297" s="8"/>
      <c r="S1297" s="8"/>
      <c r="T1297" s="8"/>
      <c r="U1297" s="8"/>
      <c r="V1297" s="8"/>
      <c r="Y1297" s="8"/>
      <c r="Z1297" s="8"/>
    </row>
    <row r="1298" ht="15.75" customHeight="1">
      <c r="Q1298" s="8"/>
      <c r="R1298" s="8"/>
      <c r="S1298" s="8"/>
      <c r="T1298" s="8"/>
      <c r="U1298" s="8"/>
      <c r="V1298" s="8"/>
      <c r="Y1298" s="8"/>
      <c r="Z1298" s="8"/>
    </row>
    <row r="1299" ht="15.75" customHeight="1">
      <c r="Q1299" s="8"/>
      <c r="R1299" s="8"/>
      <c r="S1299" s="8"/>
      <c r="T1299" s="8"/>
      <c r="U1299" s="8"/>
      <c r="V1299" s="8"/>
      <c r="Y1299" s="8"/>
      <c r="Z1299" s="8"/>
    </row>
    <row r="1300" ht="15.75" customHeight="1">
      <c r="Q1300" s="8"/>
      <c r="R1300" s="8"/>
      <c r="S1300" s="8"/>
      <c r="T1300" s="8"/>
      <c r="U1300" s="8"/>
      <c r="V1300" s="8"/>
      <c r="Y1300" s="8"/>
      <c r="Z1300" s="8"/>
    </row>
    <row r="1301" ht="15.75" customHeight="1">
      <c r="Q1301" s="8"/>
      <c r="R1301" s="8"/>
      <c r="S1301" s="8"/>
      <c r="T1301" s="8"/>
      <c r="U1301" s="8"/>
      <c r="V1301" s="8"/>
      <c r="Y1301" s="8"/>
      <c r="Z1301" s="8"/>
    </row>
    <row r="1302" ht="15.75" customHeight="1">
      <c r="Q1302" s="8"/>
      <c r="R1302" s="8"/>
      <c r="S1302" s="8"/>
      <c r="T1302" s="8"/>
      <c r="U1302" s="8"/>
      <c r="V1302" s="8"/>
      <c r="Y1302" s="8"/>
      <c r="Z1302" s="8"/>
    </row>
    <row r="1303" ht="15.75" customHeight="1">
      <c r="Q1303" s="8"/>
      <c r="R1303" s="8"/>
      <c r="S1303" s="8"/>
      <c r="T1303" s="8"/>
      <c r="U1303" s="8"/>
      <c r="V1303" s="8"/>
      <c r="Y1303" s="8"/>
      <c r="Z1303" s="8"/>
    </row>
    <row r="1304" ht="15.75" customHeight="1">
      <c r="Q1304" s="8"/>
      <c r="R1304" s="8"/>
      <c r="S1304" s="8"/>
      <c r="T1304" s="8"/>
      <c r="U1304" s="8"/>
      <c r="V1304" s="8"/>
      <c r="Y1304" s="8"/>
      <c r="Z1304" s="8"/>
    </row>
    <row r="1305" ht="15.75" customHeight="1">
      <c r="Q1305" s="8"/>
      <c r="R1305" s="8"/>
      <c r="S1305" s="8"/>
      <c r="T1305" s="8"/>
      <c r="U1305" s="8"/>
      <c r="V1305" s="8"/>
      <c r="Y1305" s="8"/>
      <c r="Z1305" s="8"/>
    </row>
    <row r="1306" ht="15.75" customHeight="1">
      <c r="Q1306" s="8"/>
      <c r="R1306" s="8"/>
      <c r="S1306" s="8"/>
      <c r="T1306" s="8"/>
      <c r="U1306" s="8"/>
      <c r="V1306" s="8"/>
      <c r="Y1306" s="8"/>
      <c r="Z1306" s="8"/>
    </row>
    <row r="1307" ht="15.75" customHeight="1">
      <c r="Q1307" s="8"/>
      <c r="R1307" s="8"/>
      <c r="S1307" s="8"/>
      <c r="T1307" s="8"/>
      <c r="U1307" s="8"/>
      <c r="V1307" s="8"/>
      <c r="Y1307" s="8"/>
      <c r="Z1307" s="8"/>
    </row>
    <row r="1308" ht="15.75" customHeight="1">
      <c r="Q1308" s="8"/>
      <c r="R1308" s="8"/>
      <c r="S1308" s="8"/>
      <c r="T1308" s="8"/>
      <c r="U1308" s="8"/>
      <c r="V1308" s="8"/>
      <c r="Y1308" s="8"/>
      <c r="Z1308" s="8"/>
    </row>
    <row r="1309" ht="15.75" customHeight="1">
      <c r="Q1309" s="8"/>
      <c r="R1309" s="8"/>
      <c r="S1309" s="8"/>
      <c r="T1309" s="8"/>
      <c r="U1309" s="8"/>
      <c r="V1309" s="8"/>
      <c r="Y1309" s="8"/>
      <c r="Z1309" s="8"/>
    </row>
    <row r="1310" ht="15.75" customHeight="1">
      <c r="Q1310" s="8"/>
      <c r="R1310" s="8"/>
      <c r="S1310" s="8"/>
      <c r="T1310" s="8"/>
      <c r="U1310" s="8"/>
      <c r="V1310" s="8"/>
      <c r="Y1310" s="8"/>
      <c r="Z1310" s="8"/>
    </row>
    <row r="1311" ht="15.75" customHeight="1">
      <c r="Q1311" s="8"/>
      <c r="R1311" s="8"/>
      <c r="S1311" s="8"/>
      <c r="T1311" s="8"/>
      <c r="U1311" s="8"/>
      <c r="V1311" s="8"/>
      <c r="Y1311" s="8"/>
      <c r="Z1311" s="8"/>
    </row>
    <row r="1312" ht="15.75" customHeight="1">
      <c r="Q1312" s="8"/>
      <c r="R1312" s="8"/>
      <c r="S1312" s="8"/>
      <c r="T1312" s="8"/>
      <c r="U1312" s="8"/>
      <c r="V1312" s="8"/>
      <c r="Y1312" s="8"/>
      <c r="Z1312" s="8"/>
    </row>
    <row r="1313" ht="15.75" customHeight="1">
      <c r="Q1313" s="8"/>
      <c r="R1313" s="8"/>
      <c r="S1313" s="8"/>
      <c r="T1313" s="8"/>
      <c r="U1313" s="8"/>
      <c r="V1313" s="8"/>
      <c r="Y1313" s="8"/>
      <c r="Z1313" s="8"/>
    </row>
    <row r="1314" ht="15.75" customHeight="1">
      <c r="Q1314" s="8"/>
      <c r="R1314" s="8"/>
      <c r="S1314" s="8"/>
      <c r="T1314" s="8"/>
      <c r="U1314" s="8"/>
      <c r="V1314" s="8"/>
      <c r="Y1314" s="8"/>
      <c r="Z1314" s="8"/>
    </row>
    <row r="1315" ht="15.75" customHeight="1">
      <c r="Q1315" s="8"/>
      <c r="R1315" s="8"/>
      <c r="S1315" s="8"/>
      <c r="T1315" s="8"/>
      <c r="U1315" s="8"/>
      <c r="V1315" s="8"/>
      <c r="Y1315" s="8"/>
      <c r="Z1315" s="8"/>
    </row>
    <row r="1316" ht="15.75" customHeight="1">
      <c r="Q1316" s="8"/>
      <c r="R1316" s="8"/>
      <c r="S1316" s="8"/>
      <c r="T1316" s="8"/>
      <c r="U1316" s="8"/>
      <c r="V1316" s="8"/>
      <c r="Y1316" s="8"/>
      <c r="Z1316" s="8"/>
    </row>
    <row r="1317" ht="15.75" customHeight="1">
      <c r="Q1317" s="8"/>
      <c r="R1317" s="8"/>
      <c r="S1317" s="8"/>
      <c r="T1317" s="8"/>
      <c r="U1317" s="8"/>
      <c r="V1317" s="8"/>
      <c r="Y1317" s="8"/>
      <c r="Z1317" s="8"/>
    </row>
    <row r="1318" ht="15.75" customHeight="1">
      <c r="Q1318" s="8"/>
      <c r="R1318" s="8"/>
      <c r="S1318" s="8"/>
      <c r="T1318" s="8"/>
      <c r="U1318" s="8"/>
      <c r="V1318" s="8"/>
      <c r="Y1318" s="8"/>
      <c r="Z1318" s="8"/>
    </row>
    <row r="1319" ht="15.75" customHeight="1">
      <c r="Q1319" s="8"/>
      <c r="R1319" s="8"/>
      <c r="S1319" s="8"/>
      <c r="T1319" s="8"/>
      <c r="U1319" s="8"/>
      <c r="V1319" s="8"/>
      <c r="Y1319" s="8"/>
      <c r="Z1319" s="8"/>
    </row>
    <row r="1320" ht="15.75" customHeight="1">
      <c r="Q1320" s="8"/>
      <c r="R1320" s="8"/>
      <c r="S1320" s="8"/>
      <c r="T1320" s="8"/>
      <c r="U1320" s="8"/>
      <c r="V1320" s="8"/>
      <c r="Y1320" s="8"/>
      <c r="Z1320" s="8"/>
    </row>
    <row r="1321" ht="15.75" customHeight="1">
      <c r="Q1321" s="8"/>
      <c r="R1321" s="8"/>
      <c r="S1321" s="8"/>
      <c r="T1321" s="8"/>
      <c r="U1321" s="8"/>
      <c r="V1321" s="8"/>
      <c r="Y1321" s="8"/>
      <c r="Z1321" s="8"/>
    </row>
    <row r="1322" ht="15.75" customHeight="1">
      <c r="Q1322" s="8"/>
      <c r="R1322" s="8"/>
      <c r="S1322" s="8"/>
      <c r="T1322" s="8"/>
      <c r="U1322" s="8"/>
      <c r="V1322" s="8"/>
      <c r="Y1322" s="8"/>
      <c r="Z1322" s="8"/>
    </row>
    <row r="1323" ht="15.75" customHeight="1">
      <c r="Q1323" s="8"/>
      <c r="R1323" s="8"/>
      <c r="S1323" s="8"/>
      <c r="T1323" s="8"/>
      <c r="U1323" s="8"/>
      <c r="V1323" s="8"/>
      <c r="Y1323" s="8"/>
      <c r="Z1323" s="8"/>
    </row>
    <row r="1324" ht="15.75" customHeight="1">
      <c r="Q1324" s="8"/>
      <c r="R1324" s="8"/>
      <c r="S1324" s="8"/>
      <c r="T1324" s="8"/>
      <c r="U1324" s="8"/>
      <c r="V1324" s="8"/>
      <c r="Y1324" s="8"/>
      <c r="Z1324" s="8"/>
    </row>
    <row r="1325" ht="15.75" customHeight="1">
      <c r="Q1325" s="8"/>
      <c r="R1325" s="8"/>
      <c r="S1325" s="8"/>
      <c r="T1325" s="8"/>
      <c r="U1325" s="8"/>
      <c r="V1325" s="8"/>
      <c r="Y1325" s="8"/>
      <c r="Z1325" s="8"/>
    </row>
    <row r="1326" ht="15.75" customHeight="1">
      <c r="Q1326" s="8"/>
      <c r="R1326" s="8"/>
      <c r="S1326" s="8"/>
      <c r="T1326" s="8"/>
      <c r="U1326" s="8"/>
      <c r="V1326" s="8"/>
      <c r="Y1326" s="8"/>
      <c r="Z1326" s="8"/>
    </row>
    <row r="1327" ht="15.75" customHeight="1">
      <c r="Q1327" s="8"/>
      <c r="R1327" s="8"/>
      <c r="S1327" s="8"/>
      <c r="T1327" s="8"/>
      <c r="U1327" s="8"/>
      <c r="V1327" s="8"/>
      <c r="Y1327" s="8"/>
      <c r="Z1327" s="8"/>
    </row>
    <row r="1328" ht="15.75" customHeight="1">
      <c r="Q1328" s="8"/>
      <c r="R1328" s="8"/>
      <c r="S1328" s="8"/>
      <c r="T1328" s="8"/>
      <c r="U1328" s="8"/>
      <c r="V1328" s="8"/>
      <c r="Y1328" s="8"/>
      <c r="Z1328" s="8"/>
    </row>
    <row r="1329" ht="15.75" customHeight="1">
      <c r="Q1329" s="8"/>
      <c r="R1329" s="8"/>
      <c r="S1329" s="8"/>
      <c r="T1329" s="8"/>
      <c r="U1329" s="8"/>
      <c r="V1329" s="8"/>
      <c r="Y1329" s="8"/>
      <c r="Z1329" s="8"/>
    </row>
    <row r="1330" ht="15.75" customHeight="1">
      <c r="Q1330" s="8"/>
      <c r="R1330" s="8"/>
      <c r="S1330" s="8"/>
      <c r="T1330" s="8"/>
      <c r="U1330" s="8"/>
      <c r="V1330" s="8"/>
      <c r="Y1330" s="8"/>
      <c r="Z1330" s="8"/>
    </row>
    <row r="1331" ht="15.75" customHeight="1">
      <c r="Q1331" s="8"/>
      <c r="R1331" s="8"/>
      <c r="S1331" s="8"/>
      <c r="T1331" s="8"/>
      <c r="U1331" s="8"/>
      <c r="V1331" s="8"/>
      <c r="Y1331" s="8"/>
      <c r="Z1331" s="8"/>
    </row>
    <row r="1332" ht="15.75" customHeight="1">
      <c r="Q1332" s="8"/>
      <c r="R1332" s="8"/>
      <c r="S1332" s="8"/>
      <c r="T1332" s="8"/>
      <c r="U1332" s="8"/>
      <c r="V1332" s="8"/>
      <c r="Y1332" s="8"/>
      <c r="Z1332" s="8"/>
    </row>
    <row r="1333" ht="15.75" customHeight="1">
      <c r="Q1333" s="8"/>
      <c r="R1333" s="8"/>
      <c r="S1333" s="8"/>
      <c r="T1333" s="8"/>
      <c r="U1333" s="8"/>
      <c r="V1333" s="8"/>
      <c r="Y1333" s="8"/>
      <c r="Z1333" s="8"/>
    </row>
    <row r="1334" ht="15.75" customHeight="1">
      <c r="Q1334" s="8"/>
      <c r="R1334" s="8"/>
      <c r="S1334" s="8"/>
      <c r="T1334" s="8"/>
      <c r="U1334" s="8"/>
      <c r="V1334" s="8"/>
      <c r="Y1334" s="8"/>
      <c r="Z1334" s="8"/>
    </row>
    <row r="1335" ht="15.75" customHeight="1">
      <c r="Q1335" s="8"/>
      <c r="R1335" s="8"/>
      <c r="S1335" s="8"/>
      <c r="T1335" s="8"/>
      <c r="U1335" s="8"/>
      <c r="V1335" s="8"/>
      <c r="Y1335" s="8"/>
      <c r="Z1335" s="8"/>
    </row>
    <row r="1336" ht="15.75" customHeight="1">
      <c r="Q1336" s="8"/>
      <c r="R1336" s="8"/>
      <c r="S1336" s="8"/>
      <c r="T1336" s="8"/>
      <c r="U1336" s="8"/>
      <c r="V1336" s="8"/>
      <c r="Y1336" s="8"/>
      <c r="Z1336" s="8"/>
    </row>
    <row r="1337" ht="15.75" customHeight="1">
      <c r="Q1337" s="8"/>
      <c r="R1337" s="8"/>
      <c r="S1337" s="8"/>
      <c r="T1337" s="8"/>
      <c r="U1337" s="8"/>
      <c r="V1337" s="8"/>
      <c r="Y1337" s="8"/>
      <c r="Z1337" s="8"/>
    </row>
    <row r="1338" ht="15.75" customHeight="1">
      <c r="Q1338" s="8"/>
      <c r="R1338" s="8"/>
      <c r="S1338" s="8"/>
      <c r="T1338" s="8"/>
      <c r="U1338" s="8"/>
      <c r="V1338" s="8"/>
      <c r="Y1338" s="8"/>
      <c r="Z1338" s="8"/>
    </row>
    <row r="1339" ht="15.75" customHeight="1">
      <c r="Q1339" s="8"/>
      <c r="R1339" s="8"/>
      <c r="S1339" s="8"/>
      <c r="T1339" s="8"/>
      <c r="U1339" s="8"/>
      <c r="V1339" s="8"/>
      <c r="Y1339" s="8"/>
      <c r="Z1339" s="8"/>
    </row>
    <row r="1340" ht="15.75" customHeight="1">
      <c r="Q1340" s="8"/>
      <c r="R1340" s="8"/>
      <c r="S1340" s="8"/>
      <c r="T1340" s="8"/>
      <c r="U1340" s="8"/>
      <c r="V1340" s="8"/>
      <c r="Y1340" s="8"/>
      <c r="Z1340" s="8"/>
    </row>
    <row r="1341" ht="15.75" customHeight="1">
      <c r="Q1341" s="8"/>
      <c r="R1341" s="8"/>
      <c r="S1341" s="8"/>
      <c r="T1341" s="8"/>
      <c r="U1341" s="8"/>
      <c r="V1341" s="8"/>
      <c r="Y1341" s="8"/>
      <c r="Z1341" s="8"/>
    </row>
    <row r="1342" ht="15.75" customHeight="1">
      <c r="Q1342" s="8"/>
      <c r="R1342" s="8"/>
      <c r="S1342" s="8"/>
      <c r="T1342" s="8"/>
      <c r="U1342" s="8"/>
      <c r="V1342" s="8"/>
      <c r="Y1342" s="8"/>
      <c r="Z1342" s="8"/>
    </row>
    <row r="1343" ht="15.75" customHeight="1">
      <c r="Q1343" s="8"/>
      <c r="R1343" s="8"/>
      <c r="S1343" s="8"/>
      <c r="T1343" s="8"/>
      <c r="U1343" s="8"/>
      <c r="V1343" s="8"/>
      <c r="Y1343" s="8"/>
      <c r="Z1343" s="8"/>
    </row>
    <row r="1344" ht="15.75" customHeight="1">
      <c r="Q1344" s="8"/>
      <c r="R1344" s="8"/>
      <c r="S1344" s="8"/>
      <c r="T1344" s="8"/>
      <c r="U1344" s="8"/>
      <c r="V1344" s="8"/>
      <c r="Y1344" s="8"/>
      <c r="Z1344" s="8"/>
    </row>
    <row r="1345" ht="15.75" customHeight="1">
      <c r="Q1345" s="8"/>
      <c r="R1345" s="8"/>
      <c r="S1345" s="8"/>
      <c r="T1345" s="8"/>
      <c r="U1345" s="8"/>
      <c r="V1345" s="8"/>
      <c r="Y1345" s="8"/>
      <c r="Z1345" s="8"/>
    </row>
    <row r="1346" ht="15.75" customHeight="1">
      <c r="Q1346" s="8"/>
      <c r="R1346" s="8"/>
      <c r="S1346" s="8"/>
      <c r="T1346" s="8"/>
      <c r="U1346" s="8"/>
      <c r="V1346" s="8"/>
      <c r="Y1346" s="8"/>
      <c r="Z1346" s="8"/>
    </row>
    <row r="1347" ht="15.75" customHeight="1">
      <c r="Q1347" s="8"/>
      <c r="R1347" s="8"/>
      <c r="S1347" s="8"/>
      <c r="T1347" s="8"/>
      <c r="U1347" s="8"/>
      <c r="V1347" s="8"/>
      <c r="Y1347" s="8"/>
      <c r="Z1347" s="8"/>
    </row>
    <row r="1348" ht="15.75" customHeight="1">
      <c r="Q1348" s="8"/>
      <c r="R1348" s="8"/>
      <c r="S1348" s="8"/>
      <c r="T1348" s="8"/>
      <c r="U1348" s="8"/>
      <c r="V1348" s="8"/>
      <c r="Y1348" s="8"/>
      <c r="Z1348" s="8"/>
    </row>
    <row r="1349" ht="15.75" customHeight="1">
      <c r="Q1349" s="8"/>
      <c r="R1349" s="8"/>
      <c r="S1349" s="8"/>
      <c r="T1349" s="8"/>
      <c r="U1349" s="8"/>
      <c r="V1349" s="8"/>
      <c r="Y1349" s="8"/>
      <c r="Z1349" s="8"/>
    </row>
    <row r="1350" ht="15.75" customHeight="1">
      <c r="Q1350" s="8"/>
      <c r="R1350" s="8"/>
      <c r="S1350" s="8"/>
      <c r="T1350" s="8"/>
      <c r="U1350" s="8"/>
      <c r="V1350" s="8"/>
      <c r="Y1350" s="8"/>
      <c r="Z1350" s="8"/>
    </row>
    <row r="1351" ht="15.75" customHeight="1">
      <c r="Q1351" s="8"/>
      <c r="R1351" s="8"/>
      <c r="S1351" s="8"/>
      <c r="T1351" s="8"/>
      <c r="U1351" s="8"/>
      <c r="V1351" s="8"/>
      <c r="Y1351" s="8"/>
      <c r="Z1351" s="8"/>
    </row>
    <row r="1352" ht="15.75" customHeight="1">
      <c r="Q1352" s="8"/>
      <c r="R1352" s="8"/>
      <c r="S1352" s="8"/>
      <c r="T1352" s="8"/>
      <c r="U1352" s="8"/>
      <c r="V1352" s="8"/>
      <c r="Y1352" s="8"/>
      <c r="Z1352" s="8"/>
    </row>
    <row r="1353" ht="15.75" customHeight="1">
      <c r="Q1353" s="8"/>
      <c r="R1353" s="8"/>
      <c r="S1353" s="8"/>
      <c r="T1353" s="8"/>
      <c r="U1353" s="8"/>
      <c r="V1353" s="8"/>
      <c r="Y1353" s="8"/>
      <c r="Z1353" s="8"/>
    </row>
    <row r="1354" ht="15.75" customHeight="1">
      <c r="Q1354" s="8"/>
      <c r="R1354" s="8"/>
      <c r="S1354" s="8"/>
      <c r="T1354" s="8"/>
      <c r="U1354" s="8"/>
      <c r="V1354" s="8"/>
      <c r="Y1354" s="8"/>
      <c r="Z1354" s="8"/>
    </row>
    <row r="1355" ht="15.75" customHeight="1">
      <c r="Q1355" s="8"/>
      <c r="R1355" s="8"/>
      <c r="S1355" s="8"/>
      <c r="T1355" s="8"/>
      <c r="U1355" s="8"/>
      <c r="V1355" s="8"/>
      <c r="Y1355" s="8"/>
      <c r="Z1355" s="8"/>
    </row>
    <row r="1356" ht="15.75" customHeight="1">
      <c r="Q1356" s="8"/>
      <c r="R1356" s="8"/>
      <c r="S1356" s="8"/>
      <c r="T1356" s="8"/>
      <c r="U1356" s="8"/>
      <c r="V1356" s="8"/>
      <c r="Y1356" s="8"/>
      <c r="Z1356" s="8"/>
    </row>
    <row r="1357" ht="15.75" customHeight="1">
      <c r="Q1357" s="8"/>
      <c r="R1357" s="8"/>
      <c r="S1357" s="8"/>
      <c r="T1357" s="8"/>
      <c r="U1357" s="8"/>
      <c r="V1357" s="8"/>
      <c r="Y1357" s="8"/>
      <c r="Z1357" s="8"/>
    </row>
    <row r="1358" ht="15.75" customHeight="1">
      <c r="Q1358" s="8"/>
      <c r="R1358" s="8"/>
      <c r="S1358" s="8"/>
      <c r="T1358" s="8"/>
      <c r="U1358" s="8"/>
      <c r="V1358" s="8"/>
      <c r="Y1358" s="8"/>
      <c r="Z1358" s="8"/>
    </row>
    <row r="1359" ht="15.75" customHeight="1">
      <c r="Q1359" s="8"/>
      <c r="R1359" s="8"/>
      <c r="S1359" s="8"/>
      <c r="T1359" s="8"/>
      <c r="U1359" s="8"/>
      <c r="V1359" s="8"/>
      <c r="Y1359" s="8"/>
      <c r="Z1359" s="8"/>
    </row>
    <row r="1360" ht="15.75" customHeight="1">
      <c r="Q1360" s="8"/>
      <c r="R1360" s="8"/>
      <c r="S1360" s="8"/>
      <c r="T1360" s="8"/>
      <c r="U1360" s="8"/>
      <c r="V1360" s="8"/>
      <c r="Y1360" s="8"/>
      <c r="Z1360" s="8"/>
    </row>
    <row r="1361" ht="15.75" customHeight="1">
      <c r="Q1361" s="8"/>
      <c r="R1361" s="8"/>
      <c r="S1361" s="8"/>
      <c r="T1361" s="8"/>
      <c r="U1361" s="8"/>
      <c r="V1361" s="8"/>
      <c r="Y1361" s="8"/>
      <c r="Z1361" s="8"/>
    </row>
    <row r="1362" ht="15.75" customHeight="1">
      <c r="Q1362" s="8"/>
      <c r="R1362" s="8"/>
      <c r="S1362" s="8"/>
      <c r="T1362" s="8"/>
      <c r="U1362" s="8"/>
      <c r="V1362" s="8"/>
      <c r="Y1362" s="8"/>
      <c r="Z1362" s="8"/>
    </row>
    <row r="1363" ht="15.75" customHeight="1">
      <c r="Q1363" s="8"/>
      <c r="R1363" s="8"/>
      <c r="S1363" s="8"/>
      <c r="T1363" s="8"/>
      <c r="U1363" s="8"/>
      <c r="V1363" s="8"/>
      <c r="Y1363" s="8"/>
      <c r="Z1363" s="8"/>
    </row>
    <row r="1364" ht="15.75" customHeight="1">
      <c r="Q1364" s="8"/>
      <c r="R1364" s="8"/>
      <c r="S1364" s="8"/>
      <c r="T1364" s="8"/>
      <c r="U1364" s="8"/>
      <c r="V1364" s="8"/>
      <c r="Y1364" s="8"/>
      <c r="Z1364" s="8"/>
    </row>
    <row r="1365" ht="15.75" customHeight="1">
      <c r="Q1365" s="8"/>
      <c r="R1365" s="8"/>
      <c r="S1365" s="8"/>
      <c r="T1365" s="8"/>
      <c r="U1365" s="8"/>
      <c r="V1365" s="8"/>
      <c r="Y1365" s="8"/>
      <c r="Z1365" s="8"/>
    </row>
    <row r="1366" ht="15.75" customHeight="1">
      <c r="Q1366" s="8"/>
      <c r="R1366" s="8"/>
      <c r="S1366" s="8"/>
      <c r="T1366" s="8"/>
      <c r="U1366" s="8"/>
      <c r="V1366" s="8"/>
      <c r="Y1366" s="8"/>
      <c r="Z1366" s="8"/>
    </row>
    <row r="1367" ht="15.75" customHeight="1">
      <c r="Q1367" s="8"/>
      <c r="R1367" s="8"/>
      <c r="S1367" s="8"/>
      <c r="T1367" s="8"/>
      <c r="U1367" s="8"/>
      <c r="V1367" s="8"/>
      <c r="Y1367" s="8"/>
      <c r="Z1367" s="8"/>
    </row>
    <row r="1368" ht="15.75" customHeight="1">
      <c r="Q1368" s="8"/>
      <c r="R1368" s="8"/>
      <c r="S1368" s="8"/>
      <c r="T1368" s="8"/>
      <c r="U1368" s="8"/>
      <c r="V1368" s="8"/>
      <c r="Y1368" s="8"/>
      <c r="Z1368" s="8"/>
    </row>
    <row r="1369" ht="15.75" customHeight="1">
      <c r="Q1369" s="8"/>
      <c r="R1369" s="8"/>
      <c r="S1369" s="8"/>
      <c r="T1369" s="8"/>
      <c r="U1369" s="8"/>
      <c r="V1369" s="8"/>
      <c r="Y1369" s="8"/>
      <c r="Z1369" s="8"/>
    </row>
    <row r="1370" ht="15.75" customHeight="1">
      <c r="Q1370" s="8"/>
      <c r="R1370" s="8"/>
      <c r="S1370" s="8"/>
      <c r="T1370" s="8"/>
      <c r="U1370" s="8"/>
      <c r="V1370" s="8"/>
      <c r="Y1370" s="8"/>
      <c r="Z1370" s="8"/>
    </row>
    <row r="1371" ht="15.75" customHeight="1">
      <c r="Q1371" s="8"/>
      <c r="R1371" s="8"/>
      <c r="S1371" s="8"/>
      <c r="T1371" s="8"/>
      <c r="U1371" s="8"/>
      <c r="V1371" s="8"/>
      <c r="Y1371" s="8"/>
      <c r="Z1371" s="8"/>
    </row>
    <row r="1372" ht="15.75" customHeight="1">
      <c r="Q1372" s="8"/>
      <c r="R1372" s="8"/>
      <c r="S1372" s="8"/>
      <c r="T1372" s="8"/>
      <c r="U1372" s="8"/>
      <c r="V1372" s="8"/>
      <c r="Y1372" s="8"/>
      <c r="Z1372" s="8"/>
    </row>
    <row r="1373" ht="15.75" customHeight="1">
      <c r="Q1373" s="8"/>
      <c r="R1373" s="8"/>
      <c r="S1373" s="8"/>
      <c r="T1373" s="8"/>
      <c r="U1373" s="8"/>
      <c r="V1373" s="8"/>
      <c r="Y1373" s="8"/>
      <c r="Z1373" s="8"/>
    </row>
    <row r="1374" ht="15.75" customHeight="1">
      <c r="Q1374" s="8"/>
      <c r="R1374" s="8"/>
      <c r="S1374" s="8"/>
      <c r="T1374" s="8"/>
      <c r="U1374" s="8"/>
      <c r="V1374" s="8"/>
      <c r="Y1374" s="8"/>
      <c r="Z1374" s="8"/>
    </row>
    <row r="1375" ht="15.75" customHeight="1">
      <c r="Q1375" s="8"/>
      <c r="R1375" s="8"/>
      <c r="S1375" s="8"/>
      <c r="T1375" s="8"/>
      <c r="U1375" s="8"/>
      <c r="V1375" s="8"/>
      <c r="Y1375" s="8"/>
      <c r="Z1375" s="8"/>
    </row>
    <row r="1376" ht="15.75" customHeight="1">
      <c r="Q1376" s="8"/>
      <c r="R1376" s="8"/>
      <c r="S1376" s="8"/>
      <c r="T1376" s="8"/>
      <c r="U1376" s="8"/>
      <c r="V1376" s="8"/>
      <c r="Y1376" s="8"/>
      <c r="Z1376" s="8"/>
    </row>
    <row r="1377" ht="15.75" customHeight="1">
      <c r="Q1377" s="8"/>
      <c r="R1377" s="8"/>
      <c r="S1377" s="8"/>
      <c r="T1377" s="8"/>
      <c r="U1377" s="8"/>
      <c r="V1377" s="8"/>
      <c r="Y1377" s="8"/>
      <c r="Z1377" s="8"/>
    </row>
    <row r="1378" ht="15.75" customHeight="1">
      <c r="Q1378" s="8"/>
      <c r="R1378" s="8"/>
      <c r="S1378" s="8"/>
      <c r="T1378" s="8"/>
      <c r="U1378" s="8"/>
      <c r="V1378" s="8"/>
      <c r="Y1378" s="8"/>
      <c r="Z1378" s="8"/>
    </row>
    <row r="1379" ht="15.75" customHeight="1">
      <c r="Q1379" s="8"/>
      <c r="R1379" s="8"/>
      <c r="S1379" s="8"/>
      <c r="T1379" s="8"/>
      <c r="U1379" s="8"/>
      <c r="V1379" s="8"/>
      <c r="Y1379" s="8"/>
      <c r="Z1379" s="8"/>
    </row>
    <row r="1380" ht="15.75" customHeight="1">
      <c r="Q1380" s="8"/>
      <c r="R1380" s="8"/>
      <c r="S1380" s="8"/>
      <c r="T1380" s="8"/>
      <c r="U1380" s="8"/>
      <c r="V1380" s="8"/>
      <c r="Y1380" s="8"/>
      <c r="Z1380" s="8"/>
    </row>
    <row r="1381" ht="15.75" customHeight="1">
      <c r="Q1381" s="8"/>
      <c r="R1381" s="8"/>
      <c r="S1381" s="8"/>
      <c r="T1381" s="8"/>
      <c r="U1381" s="8"/>
      <c r="V1381" s="8"/>
      <c r="Y1381" s="8"/>
      <c r="Z1381" s="8"/>
    </row>
    <row r="1382" ht="15.75" customHeight="1">
      <c r="Q1382" s="8"/>
      <c r="R1382" s="8"/>
      <c r="S1382" s="8"/>
      <c r="T1382" s="8"/>
      <c r="U1382" s="8"/>
      <c r="V1382" s="8"/>
      <c r="Y1382" s="8"/>
      <c r="Z1382" s="8"/>
    </row>
    <row r="1383" ht="15.75" customHeight="1">
      <c r="Q1383" s="8"/>
      <c r="R1383" s="8"/>
      <c r="S1383" s="8"/>
      <c r="T1383" s="8"/>
      <c r="U1383" s="8"/>
      <c r="V1383" s="8"/>
      <c r="Y1383" s="8"/>
      <c r="Z1383" s="8"/>
    </row>
    <row r="1384" ht="15.75" customHeight="1">
      <c r="Q1384" s="8"/>
      <c r="R1384" s="8"/>
      <c r="S1384" s="8"/>
      <c r="T1384" s="8"/>
      <c r="U1384" s="8"/>
      <c r="V1384" s="8"/>
      <c r="Y1384" s="8"/>
      <c r="Z1384" s="8"/>
    </row>
    <row r="1385" ht="15.75" customHeight="1">
      <c r="Q1385" s="8"/>
      <c r="R1385" s="8"/>
      <c r="S1385" s="8"/>
      <c r="T1385" s="8"/>
      <c r="U1385" s="8"/>
      <c r="V1385" s="8"/>
      <c r="Y1385" s="8"/>
      <c r="Z1385" s="8"/>
    </row>
    <row r="1386" ht="15.75" customHeight="1">
      <c r="Q1386" s="8"/>
      <c r="R1386" s="8"/>
      <c r="S1386" s="8"/>
      <c r="T1386" s="8"/>
      <c r="U1386" s="8"/>
      <c r="V1386" s="8"/>
      <c r="Y1386" s="8"/>
      <c r="Z1386" s="8"/>
    </row>
    <row r="1387" ht="15.75" customHeight="1">
      <c r="Q1387" s="8"/>
      <c r="R1387" s="8"/>
      <c r="S1387" s="8"/>
      <c r="T1387" s="8"/>
      <c r="U1387" s="8"/>
      <c r="V1387" s="8"/>
      <c r="Y1387" s="8"/>
      <c r="Z1387" s="8"/>
    </row>
    <row r="1388" ht="15.75" customHeight="1">
      <c r="Q1388" s="8"/>
      <c r="R1388" s="8"/>
      <c r="S1388" s="8"/>
      <c r="T1388" s="8"/>
      <c r="U1388" s="8"/>
      <c r="V1388" s="8"/>
      <c r="Y1388" s="8"/>
      <c r="Z1388" s="8"/>
    </row>
    <row r="1389" ht="15.75" customHeight="1">
      <c r="Q1389" s="8"/>
      <c r="R1389" s="8"/>
      <c r="S1389" s="8"/>
      <c r="T1389" s="8"/>
      <c r="U1389" s="8"/>
      <c r="V1389" s="8"/>
      <c r="Y1389" s="8"/>
      <c r="Z1389" s="8"/>
    </row>
    <row r="1390" ht="15.75" customHeight="1">
      <c r="Q1390" s="8"/>
      <c r="R1390" s="8"/>
      <c r="S1390" s="8"/>
      <c r="T1390" s="8"/>
      <c r="U1390" s="8"/>
      <c r="V1390" s="8"/>
      <c r="Y1390" s="8"/>
      <c r="Z1390" s="8"/>
    </row>
    <row r="1391" ht="15.75" customHeight="1">
      <c r="Q1391" s="8"/>
      <c r="R1391" s="8"/>
      <c r="S1391" s="8"/>
      <c r="T1391" s="8"/>
      <c r="U1391" s="8"/>
      <c r="V1391" s="8"/>
      <c r="Y1391" s="8"/>
      <c r="Z1391" s="8"/>
    </row>
    <row r="1392" ht="15.75" customHeight="1">
      <c r="Q1392" s="8"/>
      <c r="R1392" s="8"/>
      <c r="S1392" s="8"/>
      <c r="T1392" s="8"/>
      <c r="U1392" s="8"/>
      <c r="V1392" s="8"/>
      <c r="Y1392" s="8"/>
      <c r="Z1392" s="8"/>
    </row>
    <row r="1393" ht="15.75" customHeight="1">
      <c r="Q1393" s="8"/>
      <c r="R1393" s="8"/>
      <c r="S1393" s="8"/>
      <c r="T1393" s="8"/>
      <c r="U1393" s="8"/>
      <c r="V1393" s="8"/>
      <c r="Y1393" s="8"/>
      <c r="Z1393" s="8"/>
    </row>
    <row r="1394" ht="15.75" customHeight="1">
      <c r="Q1394" s="8"/>
      <c r="R1394" s="8"/>
      <c r="S1394" s="8"/>
      <c r="T1394" s="8"/>
      <c r="U1394" s="8"/>
      <c r="V1394" s="8"/>
      <c r="Y1394" s="8"/>
      <c r="Z1394" s="8"/>
    </row>
    <row r="1395" ht="15.75" customHeight="1">
      <c r="Q1395" s="8"/>
      <c r="R1395" s="8"/>
      <c r="S1395" s="8"/>
      <c r="T1395" s="8"/>
      <c r="U1395" s="8"/>
      <c r="V1395" s="8"/>
      <c r="Y1395" s="8"/>
      <c r="Z1395" s="8"/>
    </row>
    <row r="1396" ht="15.75" customHeight="1">
      <c r="Q1396" s="8"/>
      <c r="R1396" s="8"/>
      <c r="S1396" s="8"/>
      <c r="T1396" s="8"/>
      <c r="U1396" s="8"/>
      <c r="V1396" s="8"/>
      <c r="Y1396" s="8"/>
      <c r="Z1396" s="8"/>
    </row>
    <row r="1397" ht="15.75" customHeight="1">
      <c r="Q1397" s="8"/>
      <c r="R1397" s="8"/>
      <c r="S1397" s="8"/>
      <c r="T1397" s="8"/>
      <c r="U1397" s="8"/>
      <c r="V1397" s="8"/>
      <c r="Y1397" s="8"/>
      <c r="Z1397" s="8"/>
    </row>
    <row r="1398" ht="15.75" customHeight="1">
      <c r="Q1398" s="8"/>
      <c r="R1398" s="8"/>
      <c r="S1398" s="8"/>
      <c r="T1398" s="8"/>
      <c r="U1398" s="8"/>
      <c r="V1398" s="8"/>
      <c r="Y1398" s="8"/>
      <c r="Z1398" s="8"/>
    </row>
    <row r="1399" ht="15.75" customHeight="1">
      <c r="Q1399" s="8"/>
      <c r="R1399" s="8"/>
      <c r="S1399" s="8"/>
      <c r="T1399" s="8"/>
      <c r="U1399" s="8"/>
      <c r="V1399" s="8"/>
      <c r="Y1399" s="8"/>
      <c r="Z1399" s="8"/>
    </row>
    <row r="1400" ht="15.75" customHeight="1">
      <c r="Q1400" s="8"/>
      <c r="R1400" s="8"/>
      <c r="S1400" s="8"/>
      <c r="T1400" s="8"/>
      <c r="U1400" s="8"/>
      <c r="V1400" s="8"/>
      <c r="Y1400" s="8"/>
      <c r="Z1400" s="8"/>
    </row>
    <row r="1401" ht="15.75" customHeight="1">
      <c r="Q1401" s="8"/>
      <c r="R1401" s="8"/>
      <c r="S1401" s="8"/>
      <c r="T1401" s="8"/>
      <c r="U1401" s="8"/>
      <c r="V1401" s="8"/>
      <c r="Y1401" s="8"/>
      <c r="Z1401" s="8"/>
    </row>
    <row r="1402" ht="15.75" customHeight="1">
      <c r="Q1402" s="8"/>
      <c r="R1402" s="8"/>
      <c r="S1402" s="8"/>
      <c r="T1402" s="8"/>
      <c r="U1402" s="8"/>
      <c r="V1402" s="8"/>
      <c r="Y1402" s="8"/>
      <c r="Z1402" s="8"/>
    </row>
    <row r="1403" ht="15.75" customHeight="1">
      <c r="Q1403" s="8"/>
      <c r="R1403" s="8"/>
      <c r="S1403" s="8"/>
      <c r="T1403" s="8"/>
      <c r="U1403" s="8"/>
      <c r="V1403" s="8"/>
      <c r="Y1403" s="8"/>
      <c r="Z1403" s="8"/>
    </row>
    <row r="1404" ht="15.75" customHeight="1">
      <c r="Q1404" s="8"/>
      <c r="R1404" s="8"/>
      <c r="S1404" s="8"/>
      <c r="T1404" s="8"/>
      <c r="U1404" s="8"/>
      <c r="V1404" s="8"/>
      <c r="Y1404" s="8"/>
      <c r="Z1404" s="8"/>
    </row>
    <row r="1405" ht="15.75" customHeight="1">
      <c r="Q1405" s="8"/>
      <c r="R1405" s="8"/>
      <c r="S1405" s="8"/>
      <c r="T1405" s="8"/>
      <c r="U1405" s="8"/>
      <c r="V1405" s="8"/>
      <c r="Y1405" s="8"/>
      <c r="Z1405" s="8"/>
    </row>
    <row r="1406" ht="15.75" customHeight="1">
      <c r="Q1406" s="8"/>
      <c r="R1406" s="8"/>
      <c r="S1406" s="8"/>
      <c r="T1406" s="8"/>
      <c r="U1406" s="8"/>
      <c r="V1406" s="8"/>
      <c r="Y1406" s="8"/>
      <c r="Z1406" s="8"/>
    </row>
    <row r="1407" ht="15.75" customHeight="1">
      <c r="Q1407" s="8"/>
      <c r="R1407" s="8"/>
      <c r="S1407" s="8"/>
      <c r="T1407" s="8"/>
      <c r="U1407" s="8"/>
      <c r="V1407" s="8"/>
      <c r="Y1407" s="8"/>
      <c r="Z1407" s="8"/>
    </row>
    <row r="1408" ht="15.75" customHeight="1">
      <c r="Q1408" s="8"/>
      <c r="R1408" s="8"/>
      <c r="S1408" s="8"/>
      <c r="T1408" s="8"/>
      <c r="U1408" s="8"/>
      <c r="V1408" s="8"/>
      <c r="Y1408" s="8"/>
      <c r="Z1408" s="8"/>
    </row>
    <row r="1409" ht="15.75" customHeight="1">
      <c r="Q1409" s="8"/>
      <c r="R1409" s="8"/>
      <c r="S1409" s="8"/>
      <c r="T1409" s="8"/>
      <c r="U1409" s="8"/>
      <c r="V1409" s="8"/>
      <c r="Y1409" s="8"/>
      <c r="Z1409" s="8"/>
    </row>
    <row r="1410" ht="15.75" customHeight="1">
      <c r="Q1410" s="8"/>
      <c r="R1410" s="8"/>
      <c r="S1410" s="8"/>
      <c r="T1410" s="8"/>
      <c r="U1410" s="8"/>
      <c r="V1410" s="8"/>
      <c r="Y1410" s="8"/>
      <c r="Z1410" s="8"/>
    </row>
    <row r="1411" ht="15.75" customHeight="1">
      <c r="Q1411" s="8"/>
      <c r="R1411" s="8"/>
      <c r="S1411" s="8"/>
      <c r="T1411" s="8"/>
      <c r="U1411" s="8"/>
      <c r="V1411" s="8"/>
      <c r="Y1411" s="8"/>
      <c r="Z1411" s="8"/>
    </row>
    <row r="1412" ht="15.75" customHeight="1">
      <c r="Q1412" s="8"/>
      <c r="R1412" s="8"/>
      <c r="S1412" s="8"/>
      <c r="T1412" s="8"/>
      <c r="U1412" s="8"/>
      <c r="V1412" s="8"/>
      <c r="Y1412" s="8"/>
      <c r="Z1412" s="8"/>
    </row>
    <row r="1413" ht="15.75" customHeight="1">
      <c r="Q1413" s="8"/>
      <c r="R1413" s="8"/>
      <c r="S1413" s="8"/>
      <c r="T1413" s="8"/>
      <c r="U1413" s="8"/>
      <c r="V1413" s="8"/>
      <c r="Y1413" s="8"/>
      <c r="Z1413" s="8"/>
    </row>
    <row r="1414" ht="15.75" customHeight="1">
      <c r="Q1414" s="8"/>
      <c r="R1414" s="8"/>
      <c r="S1414" s="8"/>
      <c r="T1414" s="8"/>
      <c r="U1414" s="8"/>
      <c r="V1414" s="8"/>
      <c r="Y1414" s="8"/>
      <c r="Z1414" s="8"/>
    </row>
    <row r="1415" ht="15.75" customHeight="1">
      <c r="Q1415" s="8"/>
      <c r="R1415" s="8"/>
      <c r="S1415" s="8"/>
      <c r="T1415" s="8"/>
      <c r="U1415" s="8"/>
      <c r="V1415" s="8"/>
      <c r="Y1415" s="8"/>
      <c r="Z1415" s="8"/>
    </row>
    <row r="1416" ht="15.75" customHeight="1">
      <c r="Q1416" s="8"/>
      <c r="R1416" s="8"/>
      <c r="S1416" s="8"/>
      <c r="T1416" s="8"/>
      <c r="U1416" s="8"/>
      <c r="V1416" s="8"/>
      <c r="Y1416" s="8"/>
      <c r="Z1416" s="8"/>
    </row>
    <row r="1417" ht="15.75" customHeight="1">
      <c r="Q1417" s="8"/>
      <c r="R1417" s="8"/>
      <c r="S1417" s="8"/>
      <c r="T1417" s="8"/>
      <c r="U1417" s="8"/>
      <c r="V1417" s="8"/>
      <c r="Y1417" s="8"/>
      <c r="Z1417" s="8"/>
    </row>
    <row r="1418" ht="15.75" customHeight="1">
      <c r="Q1418" s="8"/>
      <c r="R1418" s="8"/>
      <c r="S1418" s="8"/>
      <c r="T1418" s="8"/>
      <c r="U1418" s="8"/>
      <c r="V1418" s="8"/>
      <c r="Y1418" s="8"/>
      <c r="Z1418" s="8"/>
    </row>
    <row r="1419" ht="15.75" customHeight="1">
      <c r="Q1419" s="8"/>
      <c r="R1419" s="8"/>
      <c r="S1419" s="8"/>
      <c r="T1419" s="8"/>
      <c r="U1419" s="8"/>
      <c r="V1419" s="8"/>
      <c r="Y1419" s="8"/>
      <c r="Z1419" s="8"/>
    </row>
    <row r="1420" ht="15.75" customHeight="1">
      <c r="Q1420" s="8"/>
      <c r="R1420" s="8"/>
      <c r="S1420" s="8"/>
      <c r="T1420" s="8"/>
      <c r="U1420" s="8"/>
      <c r="V1420" s="8"/>
      <c r="Y1420" s="8"/>
      <c r="Z1420" s="8"/>
    </row>
    <row r="1421" ht="15.75" customHeight="1">
      <c r="Q1421" s="8"/>
      <c r="R1421" s="8"/>
      <c r="S1421" s="8"/>
      <c r="T1421" s="8"/>
      <c r="U1421" s="8"/>
      <c r="V1421" s="8"/>
      <c r="Y1421" s="8"/>
      <c r="Z1421" s="8"/>
    </row>
    <row r="1422" ht="15.75" customHeight="1">
      <c r="Q1422" s="8"/>
      <c r="R1422" s="8"/>
      <c r="S1422" s="8"/>
      <c r="T1422" s="8"/>
      <c r="U1422" s="8"/>
      <c r="V1422" s="8"/>
      <c r="Y1422" s="8"/>
      <c r="Z1422" s="8"/>
    </row>
    <row r="1423" ht="15.75" customHeight="1">
      <c r="Q1423" s="8"/>
      <c r="R1423" s="8"/>
      <c r="S1423" s="8"/>
      <c r="T1423" s="8"/>
      <c r="U1423" s="8"/>
      <c r="V1423" s="8"/>
      <c r="Y1423" s="8"/>
      <c r="Z1423" s="8"/>
    </row>
    <row r="1424" ht="15.75" customHeight="1">
      <c r="Q1424" s="8"/>
      <c r="R1424" s="8"/>
      <c r="S1424" s="8"/>
      <c r="T1424" s="8"/>
      <c r="U1424" s="8"/>
      <c r="V1424" s="8"/>
      <c r="Y1424" s="8"/>
      <c r="Z1424" s="8"/>
    </row>
    <row r="1425" ht="15.75" customHeight="1">
      <c r="Q1425" s="8"/>
      <c r="R1425" s="8"/>
      <c r="S1425" s="8"/>
      <c r="T1425" s="8"/>
      <c r="U1425" s="8"/>
      <c r="V1425" s="8"/>
      <c r="Y1425" s="8"/>
      <c r="Z1425" s="8"/>
    </row>
    <row r="1426" ht="15.75" customHeight="1">
      <c r="Q1426" s="8"/>
      <c r="R1426" s="8"/>
      <c r="S1426" s="8"/>
      <c r="T1426" s="8"/>
      <c r="U1426" s="8"/>
      <c r="V1426" s="8"/>
      <c r="Y1426" s="8"/>
      <c r="Z1426" s="8"/>
    </row>
    <row r="1427" ht="15.75" customHeight="1">
      <c r="Q1427" s="8"/>
      <c r="R1427" s="8"/>
      <c r="S1427" s="8"/>
      <c r="T1427" s="8"/>
      <c r="U1427" s="8"/>
      <c r="V1427" s="8"/>
      <c r="Y1427" s="8"/>
      <c r="Z1427" s="8"/>
    </row>
    <row r="1428" ht="15.75" customHeight="1">
      <c r="Q1428" s="8"/>
      <c r="R1428" s="8"/>
      <c r="S1428" s="8"/>
      <c r="T1428" s="8"/>
      <c r="U1428" s="8"/>
      <c r="V1428" s="8"/>
      <c r="Y1428" s="8"/>
      <c r="Z1428" s="8"/>
    </row>
    <row r="1429" ht="15.75" customHeight="1">
      <c r="Q1429" s="8"/>
      <c r="R1429" s="8"/>
      <c r="S1429" s="8"/>
      <c r="T1429" s="8"/>
      <c r="U1429" s="8"/>
      <c r="V1429" s="8"/>
      <c r="Y1429" s="8"/>
      <c r="Z1429" s="8"/>
    </row>
    <row r="1430" ht="15.75" customHeight="1">
      <c r="Q1430" s="8"/>
      <c r="R1430" s="8"/>
      <c r="S1430" s="8"/>
      <c r="T1430" s="8"/>
      <c r="U1430" s="8"/>
      <c r="V1430" s="8"/>
      <c r="Y1430" s="8"/>
      <c r="Z1430" s="8"/>
    </row>
    <row r="1431" ht="15.75" customHeight="1">
      <c r="Q1431" s="8"/>
      <c r="R1431" s="8"/>
      <c r="S1431" s="8"/>
      <c r="T1431" s="8"/>
      <c r="U1431" s="8"/>
      <c r="V1431" s="8"/>
      <c r="Y1431" s="8"/>
      <c r="Z1431" s="8"/>
    </row>
    <row r="1432" ht="15.75" customHeight="1">
      <c r="Q1432" s="8"/>
      <c r="R1432" s="8"/>
      <c r="S1432" s="8"/>
      <c r="T1432" s="8"/>
      <c r="U1432" s="8"/>
      <c r="V1432" s="8"/>
      <c r="Y1432" s="8"/>
      <c r="Z1432" s="8"/>
    </row>
    <row r="1433" ht="15.75" customHeight="1">
      <c r="Q1433" s="8"/>
      <c r="R1433" s="8"/>
      <c r="S1433" s="8"/>
      <c r="T1433" s="8"/>
      <c r="U1433" s="8"/>
      <c r="V1433" s="8"/>
      <c r="Y1433" s="8"/>
      <c r="Z1433" s="8"/>
    </row>
    <row r="1434" ht="15.75" customHeight="1">
      <c r="Q1434" s="8"/>
      <c r="R1434" s="8"/>
      <c r="S1434" s="8"/>
      <c r="T1434" s="8"/>
      <c r="U1434" s="8"/>
      <c r="V1434" s="8"/>
      <c r="Y1434" s="8"/>
      <c r="Z1434" s="8"/>
    </row>
    <row r="1435" ht="15.75" customHeight="1">
      <c r="Q1435" s="8"/>
      <c r="R1435" s="8"/>
      <c r="S1435" s="8"/>
      <c r="T1435" s="8"/>
      <c r="U1435" s="8"/>
      <c r="V1435" s="8"/>
      <c r="Y1435" s="8"/>
      <c r="Z1435" s="8"/>
    </row>
    <row r="1436" ht="15.75" customHeight="1">
      <c r="Q1436" s="8"/>
      <c r="R1436" s="8"/>
      <c r="S1436" s="8"/>
      <c r="T1436" s="8"/>
      <c r="U1436" s="8"/>
      <c r="V1436" s="8"/>
      <c r="Y1436" s="8"/>
      <c r="Z1436" s="8"/>
    </row>
    <row r="1437" ht="15.75" customHeight="1">
      <c r="Q1437" s="8"/>
      <c r="R1437" s="8"/>
      <c r="S1437" s="8"/>
      <c r="T1437" s="8"/>
      <c r="U1437" s="8"/>
      <c r="V1437" s="8"/>
      <c r="Y1437" s="8"/>
      <c r="Z1437" s="8"/>
    </row>
    <row r="1438" ht="15.75" customHeight="1">
      <c r="Q1438" s="8"/>
      <c r="R1438" s="8"/>
      <c r="S1438" s="8"/>
      <c r="T1438" s="8"/>
      <c r="U1438" s="8"/>
      <c r="V1438" s="8"/>
      <c r="Y1438" s="8"/>
      <c r="Z1438" s="8"/>
    </row>
    <row r="1439" ht="15.75" customHeight="1">
      <c r="Q1439" s="8"/>
      <c r="R1439" s="8"/>
      <c r="S1439" s="8"/>
      <c r="T1439" s="8"/>
      <c r="U1439" s="8"/>
      <c r="V1439" s="8"/>
      <c r="Y1439" s="8"/>
      <c r="Z1439" s="8"/>
    </row>
    <row r="1440" ht="15.75" customHeight="1">
      <c r="Q1440" s="8"/>
      <c r="R1440" s="8"/>
      <c r="S1440" s="8"/>
      <c r="T1440" s="8"/>
      <c r="U1440" s="8"/>
      <c r="V1440" s="8"/>
      <c r="Y1440" s="8"/>
      <c r="Z1440" s="8"/>
    </row>
    <row r="1441" ht="15.75" customHeight="1">
      <c r="Q1441" s="8"/>
      <c r="R1441" s="8"/>
      <c r="S1441" s="8"/>
      <c r="T1441" s="8"/>
      <c r="U1441" s="8"/>
      <c r="V1441" s="8"/>
      <c r="Y1441" s="8"/>
      <c r="Z1441" s="8"/>
    </row>
    <row r="1442" ht="15.75" customHeight="1">
      <c r="Q1442" s="8"/>
      <c r="R1442" s="8"/>
      <c r="S1442" s="8"/>
      <c r="T1442" s="8"/>
      <c r="U1442" s="8"/>
      <c r="V1442" s="8"/>
      <c r="Y1442" s="8"/>
      <c r="Z1442" s="8"/>
    </row>
    <row r="1443" ht="15.75" customHeight="1">
      <c r="Q1443" s="8"/>
      <c r="R1443" s="8"/>
      <c r="S1443" s="8"/>
      <c r="T1443" s="8"/>
      <c r="U1443" s="8"/>
      <c r="V1443" s="8"/>
      <c r="Y1443" s="8"/>
      <c r="Z1443" s="8"/>
    </row>
    <row r="1444" ht="15.75" customHeight="1">
      <c r="Q1444" s="8"/>
      <c r="R1444" s="8"/>
      <c r="S1444" s="8"/>
      <c r="T1444" s="8"/>
      <c r="U1444" s="8"/>
      <c r="V1444" s="8"/>
      <c r="Y1444" s="8"/>
      <c r="Z1444" s="8"/>
    </row>
    <row r="1445" ht="15.75" customHeight="1">
      <c r="Q1445" s="8"/>
      <c r="R1445" s="8"/>
      <c r="S1445" s="8"/>
      <c r="T1445" s="8"/>
      <c r="U1445" s="8"/>
      <c r="V1445" s="8"/>
      <c r="Y1445" s="8"/>
      <c r="Z1445" s="8"/>
    </row>
    <row r="1446" ht="15.75" customHeight="1">
      <c r="Q1446" s="8"/>
      <c r="R1446" s="8"/>
      <c r="S1446" s="8"/>
      <c r="T1446" s="8"/>
      <c r="U1446" s="8"/>
      <c r="V1446" s="8"/>
      <c r="Y1446" s="8"/>
      <c r="Z1446" s="8"/>
    </row>
    <row r="1447" ht="15.75" customHeight="1">
      <c r="Q1447" s="8"/>
      <c r="R1447" s="8"/>
      <c r="S1447" s="8"/>
      <c r="T1447" s="8"/>
      <c r="U1447" s="8"/>
      <c r="V1447" s="8"/>
      <c r="Y1447" s="8"/>
      <c r="Z1447" s="8"/>
    </row>
    <row r="1448" ht="15.75" customHeight="1">
      <c r="Q1448" s="8"/>
      <c r="R1448" s="8"/>
      <c r="S1448" s="8"/>
      <c r="T1448" s="8"/>
      <c r="U1448" s="8"/>
      <c r="V1448" s="8"/>
      <c r="Y1448" s="8"/>
      <c r="Z1448" s="8"/>
    </row>
    <row r="1449" ht="15.75" customHeight="1">
      <c r="Q1449" s="8"/>
      <c r="R1449" s="8"/>
      <c r="S1449" s="8"/>
      <c r="T1449" s="8"/>
      <c r="U1449" s="8"/>
      <c r="V1449" s="8"/>
      <c r="Y1449" s="8"/>
      <c r="Z1449" s="8"/>
    </row>
    <row r="1450" ht="15.75" customHeight="1">
      <c r="Q1450" s="8"/>
      <c r="R1450" s="8"/>
      <c r="S1450" s="8"/>
      <c r="T1450" s="8"/>
      <c r="U1450" s="8"/>
      <c r="V1450" s="8"/>
      <c r="Y1450" s="8"/>
      <c r="Z1450" s="8"/>
    </row>
    <row r="1451" ht="15.75" customHeight="1">
      <c r="Q1451" s="8"/>
      <c r="R1451" s="8"/>
      <c r="S1451" s="8"/>
      <c r="T1451" s="8"/>
      <c r="U1451" s="8"/>
      <c r="V1451" s="8"/>
      <c r="Y1451" s="8"/>
      <c r="Z1451" s="8"/>
    </row>
    <row r="1452" ht="15.75" customHeight="1">
      <c r="Q1452" s="8"/>
      <c r="R1452" s="8"/>
      <c r="S1452" s="8"/>
      <c r="T1452" s="8"/>
      <c r="U1452" s="8"/>
      <c r="V1452" s="8"/>
      <c r="Y1452" s="8"/>
      <c r="Z1452" s="8"/>
    </row>
    <row r="1453" ht="15.75" customHeight="1">
      <c r="Q1453" s="8"/>
      <c r="R1453" s="8"/>
      <c r="S1453" s="8"/>
      <c r="T1453" s="8"/>
      <c r="U1453" s="8"/>
      <c r="V1453" s="8"/>
      <c r="Y1453" s="8"/>
      <c r="Z1453" s="8"/>
    </row>
    <row r="1454" ht="15.75" customHeight="1">
      <c r="Q1454" s="8"/>
      <c r="R1454" s="8"/>
      <c r="S1454" s="8"/>
      <c r="T1454" s="8"/>
      <c r="U1454" s="8"/>
      <c r="V1454" s="8"/>
      <c r="Y1454" s="8"/>
      <c r="Z1454" s="8"/>
    </row>
    <row r="1455" ht="15.75" customHeight="1">
      <c r="Q1455" s="8"/>
      <c r="R1455" s="8"/>
      <c r="S1455" s="8"/>
      <c r="T1455" s="8"/>
      <c r="U1455" s="8"/>
      <c r="V1455" s="8"/>
      <c r="Y1455" s="8"/>
      <c r="Z1455" s="8"/>
    </row>
    <row r="1456" ht="15.75" customHeight="1">
      <c r="Q1456" s="8"/>
      <c r="R1456" s="8"/>
      <c r="S1456" s="8"/>
      <c r="T1456" s="8"/>
      <c r="U1456" s="8"/>
      <c r="V1456" s="8"/>
      <c r="Y1456" s="8"/>
      <c r="Z1456" s="8"/>
    </row>
    <row r="1457" ht="15.75" customHeight="1">
      <c r="Q1457" s="8"/>
      <c r="R1457" s="8"/>
      <c r="S1457" s="8"/>
      <c r="T1457" s="8"/>
      <c r="U1457" s="8"/>
      <c r="V1457" s="8"/>
      <c r="Y1457" s="8"/>
      <c r="Z1457" s="8"/>
    </row>
    <row r="1458" ht="15.75" customHeight="1">
      <c r="Q1458" s="8"/>
      <c r="R1458" s="8"/>
      <c r="S1458" s="8"/>
      <c r="T1458" s="8"/>
      <c r="U1458" s="8"/>
      <c r="V1458" s="8"/>
      <c r="Y1458" s="8"/>
      <c r="Z1458" s="8"/>
    </row>
    <row r="1459" ht="15.75" customHeight="1">
      <c r="Q1459" s="8"/>
      <c r="R1459" s="8"/>
      <c r="S1459" s="8"/>
      <c r="T1459" s="8"/>
      <c r="U1459" s="8"/>
      <c r="V1459" s="8"/>
      <c r="Y1459" s="8"/>
      <c r="Z1459" s="8"/>
    </row>
    <row r="1460" ht="15.75" customHeight="1">
      <c r="Q1460" s="8"/>
      <c r="R1460" s="8"/>
      <c r="S1460" s="8"/>
      <c r="T1460" s="8"/>
      <c r="U1460" s="8"/>
      <c r="V1460" s="8"/>
      <c r="Y1460" s="8"/>
      <c r="Z1460" s="8"/>
    </row>
    <row r="1461" ht="15.75" customHeight="1">
      <c r="Q1461" s="8"/>
      <c r="R1461" s="8"/>
      <c r="S1461" s="8"/>
      <c r="T1461" s="8"/>
      <c r="U1461" s="8"/>
      <c r="V1461" s="8"/>
      <c r="Y1461" s="8"/>
      <c r="Z1461" s="8"/>
    </row>
    <row r="1462" ht="15.75" customHeight="1">
      <c r="Q1462" s="8"/>
      <c r="R1462" s="8"/>
      <c r="S1462" s="8"/>
      <c r="T1462" s="8"/>
      <c r="U1462" s="8"/>
      <c r="V1462" s="8"/>
      <c r="Y1462" s="8"/>
      <c r="Z1462" s="8"/>
    </row>
    <row r="1463" ht="15.75" customHeight="1">
      <c r="Q1463" s="8"/>
      <c r="R1463" s="8"/>
      <c r="S1463" s="8"/>
      <c r="T1463" s="8"/>
      <c r="U1463" s="8"/>
      <c r="V1463" s="8"/>
      <c r="Y1463" s="8"/>
      <c r="Z1463" s="8"/>
    </row>
    <row r="1464" ht="15.75" customHeight="1">
      <c r="Q1464" s="8"/>
      <c r="R1464" s="8"/>
      <c r="S1464" s="8"/>
      <c r="T1464" s="8"/>
      <c r="U1464" s="8"/>
      <c r="V1464" s="8"/>
      <c r="Y1464" s="8"/>
      <c r="Z1464" s="8"/>
    </row>
    <row r="1465" ht="15.75" customHeight="1">
      <c r="Q1465" s="8"/>
      <c r="R1465" s="8"/>
      <c r="S1465" s="8"/>
      <c r="T1465" s="8"/>
      <c r="U1465" s="8"/>
      <c r="V1465" s="8"/>
      <c r="Y1465" s="8"/>
      <c r="Z1465" s="8"/>
    </row>
    <row r="1466" ht="15.75" customHeight="1">
      <c r="Q1466" s="8"/>
      <c r="R1466" s="8"/>
      <c r="S1466" s="8"/>
      <c r="T1466" s="8"/>
      <c r="U1466" s="8"/>
      <c r="V1466" s="8"/>
      <c r="Y1466" s="8"/>
      <c r="Z1466" s="8"/>
    </row>
    <row r="1467" ht="15.75" customHeight="1">
      <c r="Q1467" s="8"/>
      <c r="R1467" s="8"/>
      <c r="S1467" s="8"/>
      <c r="T1467" s="8"/>
      <c r="U1467" s="8"/>
      <c r="V1467" s="8"/>
      <c r="Y1467" s="8"/>
      <c r="Z1467" s="8"/>
    </row>
    <row r="1468" ht="15.75" customHeight="1">
      <c r="Q1468" s="8"/>
      <c r="R1468" s="8"/>
      <c r="S1468" s="8"/>
      <c r="T1468" s="8"/>
      <c r="U1468" s="8"/>
      <c r="V1468" s="8"/>
      <c r="Y1468" s="8"/>
      <c r="Z1468" s="8"/>
    </row>
    <row r="1469" ht="15.75" customHeight="1">
      <c r="Q1469" s="8"/>
      <c r="R1469" s="8"/>
      <c r="S1469" s="8"/>
      <c r="T1469" s="8"/>
      <c r="U1469" s="8"/>
      <c r="V1469" s="8"/>
      <c r="Y1469" s="8"/>
      <c r="Z1469" s="8"/>
    </row>
    <row r="1470" ht="15.75" customHeight="1">
      <c r="Q1470" s="8"/>
      <c r="R1470" s="8"/>
      <c r="S1470" s="8"/>
      <c r="T1470" s="8"/>
      <c r="U1470" s="8"/>
      <c r="V1470" s="8"/>
      <c r="Y1470" s="8"/>
      <c r="Z1470" s="8"/>
    </row>
    <row r="1471" ht="15.75" customHeight="1">
      <c r="Q1471" s="8"/>
      <c r="R1471" s="8"/>
      <c r="S1471" s="8"/>
      <c r="T1471" s="8"/>
      <c r="U1471" s="8"/>
      <c r="V1471" s="8"/>
      <c r="Y1471" s="8"/>
      <c r="Z1471" s="8"/>
    </row>
    <row r="1472" ht="15.75" customHeight="1">
      <c r="Q1472" s="8"/>
      <c r="R1472" s="8"/>
      <c r="S1472" s="8"/>
      <c r="T1472" s="8"/>
      <c r="U1472" s="8"/>
      <c r="V1472" s="8"/>
      <c r="Y1472" s="8"/>
      <c r="Z1472" s="8"/>
    </row>
    <row r="1473" ht="15.75" customHeight="1">
      <c r="Q1473" s="8"/>
      <c r="R1473" s="8"/>
      <c r="S1473" s="8"/>
      <c r="T1473" s="8"/>
      <c r="U1473" s="8"/>
      <c r="V1473" s="8"/>
      <c r="Y1473" s="8"/>
      <c r="Z1473" s="8"/>
    </row>
    <row r="1474" ht="15.75" customHeight="1">
      <c r="Q1474" s="8"/>
      <c r="R1474" s="8"/>
      <c r="S1474" s="8"/>
      <c r="T1474" s="8"/>
      <c r="U1474" s="8"/>
      <c r="V1474" s="8"/>
      <c r="Y1474" s="8"/>
      <c r="Z1474" s="8"/>
    </row>
    <row r="1475" ht="15.75" customHeight="1">
      <c r="Q1475" s="8"/>
      <c r="R1475" s="8"/>
      <c r="S1475" s="8"/>
      <c r="T1475" s="8"/>
      <c r="U1475" s="8"/>
      <c r="V1475" s="8"/>
      <c r="Y1475" s="8"/>
      <c r="Z1475" s="8"/>
    </row>
    <row r="1476" ht="15.75" customHeight="1">
      <c r="Q1476" s="8"/>
      <c r="R1476" s="8"/>
      <c r="S1476" s="8"/>
      <c r="T1476" s="8"/>
      <c r="U1476" s="8"/>
      <c r="V1476" s="8"/>
      <c r="Y1476" s="8"/>
      <c r="Z1476" s="8"/>
    </row>
    <row r="1477" ht="15.75" customHeight="1">
      <c r="Q1477" s="8"/>
      <c r="R1477" s="8"/>
      <c r="S1477" s="8"/>
      <c r="T1477" s="8"/>
      <c r="U1477" s="8"/>
      <c r="V1477" s="8"/>
      <c r="Y1477" s="8"/>
      <c r="Z1477" s="8"/>
    </row>
    <row r="1478" ht="15.75" customHeight="1">
      <c r="Q1478" s="8"/>
      <c r="R1478" s="8"/>
      <c r="S1478" s="8"/>
      <c r="T1478" s="8"/>
      <c r="U1478" s="8"/>
      <c r="V1478" s="8"/>
      <c r="Y1478" s="8"/>
      <c r="Z1478" s="8"/>
    </row>
    <row r="1479" ht="15.75" customHeight="1">
      <c r="Q1479" s="8"/>
      <c r="R1479" s="8"/>
      <c r="S1479" s="8"/>
      <c r="T1479" s="8"/>
      <c r="U1479" s="8"/>
      <c r="V1479" s="8"/>
      <c r="Y1479" s="8"/>
      <c r="Z1479" s="8"/>
    </row>
    <row r="1480" ht="15.75" customHeight="1">
      <c r="Q1480" s="8"/>
      <c r="R1480" s="8"/>
      <c r="S1480" s="8"/>
      <c r="T1480" s="8"/>
      <c r="U1480" s="8"/>
      <c r="V1480" s="8"/>
      <c r="Y1480" s="8"/>
      <c r="Z1480" s="8"/>
    </row>
    <row r="1481" ht="15.75" customHeight="1">
      <c r="Q1481" s="8"/>
      <c r="R1481" s="8"/>
      <c r="S1481" s="8"/>
      <c r="T1481" s="8"/>
      <c r="U1481" s="8"/>
      <c r="V1481" s="8"/>
      <c r="Y1481" s="8"/>
      <c r="Z1481" s="8"/>
    </row>
    <row r="1482" ht="15.75" customHeight="1">
      <c r="Q1482" s="8"/>
      <c r="R1482" s="8"/>
      <c r="S1482" s="8"/>
      <c r="T1482" s="8"/>
      <c r="U1482" s="8"/>
      <c r="V1482" s="8"/>
      <c r="Y1482" s="8"/>
      <c r="Z1482" s="8"/>
    </row>
    <row r="1483" ht="15.75" customHeight="1">
      <c r="Q1483" s="8"/>
      <c r="R1483" s="8"/>
      <c r="S1483" s="8"/>
      <c r="T1483" s="8"/>
      <c r="U1483" s="8"/>
      <c r="V1483" s="8"/>
      <c r="Y1483" s="8"/>
      <c r="Z1483" s="8"/>
    </row>
    <row r="1484" ht="15.75" customHeight="1">
      <c r="Q1484" s="8"/>
      <c r="R1484" s="8"/>
      <c r="S1484" s="8"/>
      <c r="T1484" s="8"/>
      <c r="U1484" s="8"/>
      <c r="V1484" s="8"/>
      <c r="Y1484" s="8"/>
      <c r="Z1484" s="8"/>
    </row>
    <row r="1485" ht="15.75" customHeight="1">
      <c r="Q1485" s="8"/>
      <c r="R1485" s="8"/>
      <c r="S1485" s="8"/>
      <c r="T1485" s="8"/>
      <c r="U1485" s="8"/>
      <c r="V1485" s="8"/>
      <c r="Y1485" s="8"/>
      <c r="Z1485" s="8"/>
    </row>
    <row r="1486" ht="15.75" customHeight="1">
      <c r="Q1486" s="8"/>
      <c r="R1486" s="8"/>
      <c r="S1486" s="8"/>
      <c r="T1486" s="8"/>
      <c r="U1486" s="8"/>
      <c r="V1486" s="8"/>
      <c r="Y1486" s="8"/>
      <c r="Z1486" s="8"/>
    </row>
    <row r="1487" ht="15.75" customHeight="1">
      <c r="Q1487" s="8"/>
      <c r="R1487" s="8"/>
      <c r="S1487" s="8"/>
      <c r="T1487" s="8"/>
      <c r="U1487" s="8"/>
      <c r="V1487" s="8"/>
      <c r="Y1487" s="8"/>
      <c r="Z1487" s="8"/>
    </row>
    <row r="1488" ht="15.75" customHeight="1">
      <c r="Q1488" s="8"/>
      <c r="R1488" s="8"/>
      <c r="S1488" s="8"/>
      <c r="T1488" s="8"/>
      <c r="U1488" s="8"/>
      <c r="V1488" s="8"/>
      <c r="Y1488" s="8"/>
      <c r="Z1488" s="8"/>
    </row>
    <row r="1489" ht="15.75" customHeight="1">
      <c r="Q1489" s="8"/>
      <c r="R1489" s="8"/>
      <c r="S1489" s="8"/>
      <c r="T1489" s="8"/>
      <c r="U1489" s="8"/>
      <c r="V1489" s="8"/>
      <c r="Y1489" s="8"/>
      <c r="Z1489" s="8"/>
    </row>
    <row r="1490" ht="15.75" customHeight="1">
      <c r="Q1490" s="8"/>
      <c r="R1490" s="8"/>
      <c r="S1490" s="8"/>
      <c r="T1490" s="8"/>
      <c r="U1490" s="8"/>
      <c r="V1490" s="8"/>
      <c r="Y1490" s="8"/>
      <c r="Z1490" s="8"/>
    </row>
    <row r="1491" ht="15.75" customHeight="1">
      <c r="Q1491" s="8"/>
      <c r="R1491" s="8"/>
      <c r="S1491" s="8"/>
      <c r="T1491" s="8"/>
      <c r="U1491" s="8"/>
      <c r="V1491" s="8"/>
      <c r="Y1491" s="8"/>
      <c r="Z1491" s="8"/>
    </row>
    <row r="1492" ht="15.75" customHeight="1">
      <c r="Q1492" s="8"/>
      <c r="R1492" s="8"/>
      <c r="S1492" s="8"/>
      <c r="T1492" s="8"/>
      <c r="U1492" s="8"/>
      <c r="V1492" s="8"/>
      <c r="Y1492" s="8"/>
      <c r="Z1492" s="8"/>
    </row>
    <row r="1493" ht="15.75" customHeight="1">
      <c r="Q1493" s="8"/>
      <c r="R1493" s="8"/>
      <c r="S1493" s="8"/>
      <c r="T1493" s="8"/>
      <c r="U1493" s="8"/>
      <c r="V1493" s="8"/>
      <c r="Y1493" s="8"/>
      <c r="Z1493" s="8"/>
    </row>
    <row r="1494" ht="15.75" customHeight="1">
      <c r="Q1494" s="8"/>
      <c r="R1494" s="8"/>
      <c r="S1494" s="8"/>
      <c r="T1494" s="8"/>
      <c r="U1494" s="8"/>
      <c r="V1494" s="8"/>
      <c r="Y1494" s="8"/>
      <c r="Z1494" s="8"/>
    </row>
    <row r="1495" ht="15.75" customHeight="1">
      <c r="Q1495" s="8"/>
      <c r="R1495" s="8"/>
      <c r="S1495" s="8"/>
      <c r="T1495" s="8"/>
      <c r="U1495" s="8"/>
      <c r="V1495" s="8"/>
      <c r="Y1495" s="8"/>
      <c r="Z1495" s="8"/>
    </row>
    <row r="1496" ht="15.75" customHeight="1">
      <c r="Q1496" s="8"/>
      <c r="R1496" s="8"/>
      <c r="S1496" s="8"/>
      <c r="T1496" s="8"/>
      <c r="U1496" s="8"/>
      <c r="V1496" s="8"/>
      <c r="Y1496" s="8"/>
      <c r="Z1496" s="8"/>
    </row>
    <row r="1497" ht="15.75" customHeight="1">
      <c r="Q1497" s="8"/>
      <c r="R1497" s="8"/>
      <c r="S1497" s="8"/>
      <c r="T1497" s="8"/>
      <c r="U1497" s="8"/>
      <c r="V1497" s="8"/>
      <c r="Y1497" s="8"/>
      <c r="Z1497" s="8"/>
    </row>
    <row r="1498" ht="15.75" customHeight="1">
      <c r="Q1498" s="8"/>
      <c r="R1498" s="8"/>
      <c r="S1498" s="8"/>
      <c r="T1498" s="8"/>
      <c r="U1498" s="8"/>
      <c r="V1498" s="8"/>
      <c r="Y1498" s="8"/>
      <c r="Z1498" s="8"/>
    </row>
    <row r="1499" ht="15.75" customHeight="1">
      <c r="Q1499" s="8"/>
      <c r="R1499" s="8"/>
      <c r="S1499" s="8"/>
      <c r="T1499" s="8"/>
      <c r="U1499" s="8"/>
      <c r="V1499" s="8"/>
      <c r="Y1499" s="8"/>
      <c r="Z1499" s="8"/>
    </row>
    <row r="1500" ht="15.75" customHeight="1">
      <c r="Q1500" s="8"/>
      <c r="R1500" s="8"/>
      <c r="S1500" s="8"/>
      <c r="T1500" s="8"/>
      <c r="U1500" s="8"/>
      <c r="V1500" s="8"/>
      <c r="Y1500" s="8"/>
      <c r="Z1500" s="8"/>
    </row>
    <row r="1501" ht="15.75" customHeight="1">
      <c r="Q1501" s="8"/>
      <c r="R1501" s="8"/>
      <c r="S1501" s="8"/>
      <c r="T1501" s="8"/>
      <c r="U1501" s="8"/>
      <c r="V1501" s="8"/>
      <c r="Y1501" s="8"/>
      <c r="Z1501" s="8"/>
    </row>
    <row r="1502" ht="15.75" customHeight="1">
      <c r="Q1502" s="8"/>
      <c r="R1502" s="8"/>
      <c r="S1502" s="8"/>
      <c r="T1502" s="8"/>
      <c r="U1502" s="8"/>
      <c r="V1502" s="8"/>
      <c r="Y1502" s="8"/>
      <c r="Z1502" s="8"/>
    </row>
    <row r="1503" ht="15.75" customHeight="1">
      <c r="Q1503" s="8"/>
      <c r="R1503" s="8"/>
      <c r="S1503" s="8"/>
      <c r="T1503" s="8"/>
      <c r="U1503" s="8"/>
      <c r="V1503" s="8"/>
      <c r="Y1503" s="8"/>
      <c r="Z1503" s="8"/>
    </row>
    <row r="1504" ht="15.75" customHeight="1">
      <c r="Q1504" s="8"/>
      <c r="R1504" s="8"/>
      <c r="S1504" s="8"/>
      <c r="T1504" s="8"/>
      <c r="U1504" s="8"/>
      <c r="V1504" s="8"/>
      <c r="Y1504" s="8"/>
      <c r="Z1504" s="8"/>
    </row>
    <row r="1505" ht="15.75" customHeight="1">
      <c r="Q1505" s="8"/>
      <c r="R1505" s="8"/>
      <c r="S1505" s="8"/>
      <c r="T1505" s="8"/>
      <c r="U1505" s="8"/>
      <c r="V1505" s="8"/>
      <c r="Y1505" s="8"/>
      <c r="Z1505" s="8"/>
    </row>
    <row r="1506" ht="15.75" customHeight="1">
      <c r="Q1506" s="8"/>
      <c r="R1506" s="8"/>
      <c r="S1506" s="8"/>
      <c r="T1506" s="8"/>
      <c r="U1506" s="8"/>
      <c r="V1506" s="8"/>
      <c r="Y1506" s="8"/>
      <c r="Z1506" s="8"/>
    </row>
    <row r="1507" ht="15.75" customHeight="1">
      <c r="Q1507" s="8"/>
      <c r="R1507" s="8"/>
      <c r="S1507" s="8"/>
      <c r="T1507" s="8"/>
      <c r="U1507" s="8"/>
      <c r="V1507" s="8"/>
      <c r="Y1507" s="8"/>
      <c r="Z1507" s="8"/>
    </row>
    <row r="1508" ht="15.75" customHeight="1">
      <c r="Q1508" s="8"/>
      <c r="R1508" s="8"/>
      <c r="S1508" s="8"/>
      <c r="T1508" s="8"/>
      <c r="U1508" s="8"/>
      <c r="V1508" s="8"/>
      <c r="Y1508" s="8"/>
      <c r="Z1508" s="8"/>
    </row>
    <row r="1509" ht="15.75" customHeight="1">
      <c r="Q1509" s="8"/>
      <c r="R1509" s="8"/>
      <c r="S1509" s="8"/>
      <c r="T1509" s="8"/>
      <c r="U1509" s="8"/>
      <c r="V1509" s="8"/>
      <c r="Y1509" s="8"/>
      <c r="Z1509" s="8"/>
    </row>
    <row r="1510" ht="15.75" customHeight="1">
      <c r="Q1510" s="8"/>
      <c r="R1510" s="8"/>
      <c r="S1510" s="8"/>
      <c r="T1510" s="8"/>
      <c r="U1510" s="8"/>
      <c r="V1510" s="8"/>
      <c r="Y1510" s="8"/>
      <c r="Z1510" s="8"/>
    </row>
    <row r="1511" ht="15.75" customHeight="1">
      <c r="Q1511" s="8"/>
      <c r="R1511" s="8"/>
      <c r="S1511" s="8"/>
      <c r="T1511" s="8"/>
      <c r="U1511" s="8"/>
      <c r="V1511" s="8"/>
      <c r="Y1511" s="8"/>
      <c r="Z1511" s="8"/>
    </row>
    <row r="1512" ht="15.75" customHeight="1">
      <c r="Q1512" s="8"/>
      <c r="R1512" s="8"/>
      <c r="S1512" s="8"/>
      <c r="T1512" s="8"/>
      <c r="U1512" s="8"/>
      <c r="V1512" s="8"/>
      <c r="Y1512" s="8"/>
      <c r="Z1512" s="8"/>
    </row>
    <row r="1513" ht="15.75" customHeight="1">
      <c r="Q1513" s="8"/>
      <c r="R1513" s="8"/>
      <c r="S1513" s="8"/>
      <c r="T1513" s="8"/>
      <c r="U1513" s="8"/>
      <c r="V1513" s="8"/>
      <c r="Y1513" s="8"/>
      <c r="Z1513" s="8"/>
    </row>
    <row r="1514" ht="15.75" customHeight="1">
      <c r="Q1514" s="8"/>
      <c r="R1514" s="8"/>
      <c r="S1514" s="8"/>
      <c r="T1514" s="8"/>
      <c r="U1514" s="8"/>
      <c r="V1514" s="8"/>
      <c r="Y1514" s="8"/>
      <c r="Z1514" s="8"/>
    </row>
    <row r="1515" ht="15.75" customHeight="1">
      <c r="Q1515" s="8"/>
      <c r="R1515" s="8"/>
      <c r="S1515" s="8"/>
      <c r="T1515" s="8"/>
      <c r="U1515" s="8"/>
      <c r="V1515" s="8"/>
      <c r="Y1515" s="8"/>
      <c r="Z1515" s="8"/>
    </row>
    <row r="1516" ht="15.75" customHeight="1">
      <c r="Q1516" s="8"/>
      <c r="R1516" s="8"/>
      <c r="S1516" s="8"/>
      <c r="T1516" s="8"/>
      <c r="U1516" s="8"/>
      <c r="V1516" s="8"/>
      <c r="Y1516" s="8"/>
      <c r="Z1516" s="8"/>
    </row>
    <row r="1517" ht="15.75" customHeight="1">
      <c r="Q1517" s="8"/>
      <c r="R1517" s="8"/>
      <c r="S1517" s="8"/>
      <c r="T1517" s="8"/>
      <c r="U1517" s="8"/>
      <c r="V1517" s="8"/>
      <c r="Y1517" s="8"/>
      <c r="Z1517" s="8"/>
    </row>
    <row r="1518" ht="15.75" customHeight="1">
      <c r="Q1518" s="8"/>
      <c r="R1518" s="8"/>
      <c r="S1518" s="8"/>
      <c r="T1518" s="8"/>
      <c r="U1518" s="8"/>
      <c r="V1518" s="8"/>
      <c r="Y1518" s="8"/>
      <c r="Z1518" s="8"/>
    </row>
    <row r="1519" ht="15.75" customHeight="1">
      <c r="Q1519" s="8"/>
      <c r="R1519" s="8"/>
      <c r="S1519" s="8"/>
      <c r="T1519" s="8"/>
      <c r="U1519" s="8"/>
      <c r="V1519" s="8"/>
      <c r="Y1519" s="8"/>
      <c r="Z1519" s="8"/>
    </row>
    <row r="1520" ht="15.75" customHeight="1">
      <c r="Q1520" s="8"/>
      <c r="R1520" s="8"/>
      <c r="S1520" s="8"/>
      <c r="T1520" s="8"/>
      <c r="U1520" s="8"/>
      <c r="V1520" s="8"/>
      <c r="Y1520" s="8"/>
      <c r="Z1520" s="8"/>
    </row>
    <row r="1521" ht="15.75" customHeight="1">
      <c r="Q1521" s="8"/>
      <c r="R1521" s="8"/>
      <c r="S1521" s="8"/>
      <c r="T1521" s="8"/>
      <c r="U1521" s="8"/>
      <c r="V1521" s="8"/>
      <c r="Y1521" s="8"/>
      <c r="Z1521" s="8"/>
    </row>
    <row r="1522" ht="15.75" customHeight="1">
      <c r="Q1522" s="8"/>
      <c r="R1522" s="8"/>
      <c r="S1522" s="8"/>
      <c r="T1522" s="8"/>
      <c r="U1522" s="8"/>
      <c r="V1522" s="8"/>
      <c r="Y1522" s="8"/>
      <c r="Z1522" s="8"/>
    </row>
    <row r="1523" ht="15.75" customHeight="1">
      <c r="Q1523" s="8"/>
      <c r="R1523" s="8"/>
      <c r="S1523" s="8"/>
      <c r="T1523" s="8"/>
      <c r="U1523" s="8"/>
      <c r="V1523" s="8"/>
      <c r="Y1523" s="8"/>
      <c r="Z1523" s="8"/>
    </row>
    <row r="1524" ht="15.75" customHeight="1">
      <c r="Q1524" s="8"/>
      <c r="R1524" s="8"/>
      <c r="S1524" s="8"/>
      <c r="T1524" s="8"/>
      <c r="U1524" s="8"/>
      <c r="V1524" s="8"/>
      <c r="Y1524" s="8"/>
      <c r="Z1524" s="8"/>
    </row>
    <row r="1525" ht="15.75" customHeight="1">
      <c r="Q1525" s="8"/>
      <c r="R1525" s="8"/>
      <c r="S1525" s="8"/>
      <c r="T1525" s="8"/>
      <c r="U1525" s="8"/>
      <c r="V1525" s="8"/>
      <c r="Y1525" s="8"/>
      <c r="Z1525" s="8"/>
    </row>
    <row r="1526" ht="15.75" customHeight="1">
      <c r="Q1526" s="8"/>
      <c r="R1526" s="8"/>
      <c r="S1526" s="8"/>
      <c r="T1526" s="8"/>
      <c r="U1526" s="8"/>
      <c r="V1526" s="8"/>
      <c r="Y1526" s="8"/>
      <c r="Z1526" s="8"/>
    </row>
    <row r="1527" ht="15.75" customHeight="1">
      <c r="Q1527" s="8"/>
      <c r="R1527" s="8"/>
      <c r="S1527" s="8"/>
      <c r="T1527" s="8"/>
      <c r="U1527" s="8"/>
      <c r="V1527" s="8"/>
      <c r="Y1527" s="8"/>
      <c r="Z1527" s="8"/>
    </row>
    <row r="1528" ht="15.75" customHeight="1">
      <c r="Q1528" s="8"/>
      <c r="R1528" s="8"/>
      <c r="S1528" s="8"/>
      <c r="T1528" s="8"/>
      <c r="U1528" s="8"/>
      <c r="V1528" s="8"/>
      <c r="Y1528" s="8"/>
      <c r="Z1528" s="8"/>
    </row>
    <row r="1529" ht="15.75" customHeight="1">
      <c r="Q1529" s="8"/>
      <c r="R1529" s="8"/>
      <c r="S1529" s="8"/>
      <c r="T1529" s="8"/>
      <c r="U1529" s="8"/>
      <c r="V1529" s="8"/>
      <c r="Y1529" s="8"/>
      <c r="Z1529" s="8"/>
    </row>
    <row r="1530" ht="15.75" customHeight="1">
      <c r="Q1530" s="8"/>
      <c r="R1530" s="8"/>
      <c r="S1530" s="8"/>
      <c r="T1530" s="8"/>
      <c r="U1530" s="8"/>
      <c r="V1530" s="8"/>
      <c r="Y1530" s="8"/>
      <c r="Z1530" s="8"/>
    </row>
    <row r="1531" ht="15.75" customHeight="1">
      <c r="Q1531" s="8"/>
      <c r="R1531" s="8"/>
      <c r="S1531" s="8"/>
      <c r="T1531" s="8"/>
      <c r="U1531" s="8"/>
      <c r="V1531" s="8"/>
      <c r="Y1531" s="8"/>
      <c r="Z1531" s="8"/>
    </row>
    <row r="1532" ht="15.75" customHeight="1">
      <c r="Q1532" s="8"/>
      <c r="R1532" s="8"/>
      <c r="S1532" s="8"/>
      <c r="T1532" s="8"/>
      <c r="U1532" s="8"/>
      <c r="V1532" s="8"/>
      <c r="Y1532" s="8"/>
      <c r="Z1532" s="8"/>
    </row>
    <row r="1533" ht="15.75" customHeight="1">
      <c r="Q1533" s="8"/>
      <c r="R1533" s="8"/>
      <c r="S1533" s="8"/>
      <c r="T1533" s="8"/>
      <c r="U1533" s="8"/>
      <c r="V1533" s="8"/>
      <c r="Y1533" s="8"/>
      <c r="Z1533" s="8"/>
    </row>
    <row r="1534" ht="15.75" customHeight="1">
      <c r="Q1534" s="8"/>
      <c r="R1534" s="8"/>
      <c r="S1534" s="8"/>
      <c r="T1534" s="8"/>
      <c r="U1534" s="8"/>
      <c r="V1534" s="8"/>
      <c r="Y1534" s="8"/>
      <c r="Z1534" s="8"/>
    </row>
    <row r="1535" ht="15.75" customHeight="1">
      <c r="Q1535" s="8"/>
      <c r="R1535" s="8"/>
      <c r="S1535" s="8"/>
      <c r="T1535" s="8"/>
      <c r="U1535" s="8"/>
      <c r="V1535" s="8"/>
      <c r="Y1535" s="8"/>
      <c r="Z1535" s="8"/>
    </row>
    <row r="1536" ht="15.75" customHeight="1">
      <c r="Q1536" s="8"/>
      <c r="R1536" s="8"/>
      <c r="S1536" s="8"/>
      <c r="T1536" s="8"/>
      <c r="U1536" s="8"/>
      <c r="V1536" s="8"/>
      <c r="Y1536" s="8"/>
      <c r="Z1536" s="8"/>
    </row>
    <row r="1537" ht="15.75" customHeight="1">
      <c r="Q1537" s="8"/>
      <c r="R1537" s="8"/>
      <c r="S1537" s="8"/>
      <c r="T1537" s="8"/>
      <c r="U1537" s="8"/>
      <c r="V1537" s="8"/>
      <c r="Y1537" s="8"/>
      <c r="Z1537" s="8"/>
    </row>
    <row r="1538" ht="15.75" customHeight="1">
      <c r="Q1538" s="8"/>
      <c r="R1538" s="8"/>
      <c r="S1538" s="8"/>
      <c r="T1538" s="8"/>
      <c r="U1538" s="8"/>
      <c r="V1538" s="8"/>
      <c r="Y1538" s="8"/>
      <c r="Z1538" s="8"/>
    </row>
    <row r="1539" ht="15.75" customHeight="1">
      <c r="Q1539" s="8"/>
      <c r="R1539" s="8"/>
      <c r="S1539" s="8"/>
      <c r="T1539" s="8"/>
      <c r="U1539" s="8"/>
      <c r="V1539" s="8"/>
      <c r="Y1539" s="8"/>
      <c r="Z1539" s="8"/>
    </row>
    <row r="1540" ht="15.75" customHeight="1">
      <c r="Q1540" s="8"/>
      <c r="R1540" s="8"/>
      <c r="S1540" s="8"/>
      <c r="T1540" s="8"/>
      <c r="U1540" s="8"/>
      <c r="V1540" s="8"/>
      <c r="Y1540" s="8"/>
      <c r="Z1540" s="8"/>
    </row>
    <row r="1541" ht="15.75" customHeight="1">
      <c r="Q1541" s="8"/>
      <c r="R1541" s="8"/>
      <c r="S1541" s="8"/>
      <c r="T1541" s="8"/>
      <c r="U1541" s="8"/>
      <c r="V1541" s="8"/>
      <c r="Y1541" s="8"/>
      <c r="Z1541" s="8"/>
    </row>
    <row r="1542" ht="15.75" customHeight="1">
      <c r="Q1542" s="8"/>
      <c r="R1542" s="8"/>
      <c r="S1542" s="8"/>
      <c r="T1542" s="8"/>
      <c r="U1542" s="8"/>
      <c r="V1542" s="8"/>
      <c r="Y1542" s="8"/>
      <c r="Z1542" s="8"/>
    </row>
    <row r="1543" ht="15.75" customHeight="1">
      <c r="Q1543" s="8"/>
      <c r="R1543" s="8"/>
      <c r="S1543" s="8"/>
      <c r="T1543" s="8"/>
      <c r="U1543" s="8"/>
      <c r="V1543" s="8"/>
      <c r="Y1543" s="8"/>
      <c r="Z1543" s="8"/>
    </row>
    <row r="1544" ht="15.75" customHeight="1">
      <c r="Q1544" s="8"/>
      <c r="R1544" s="8"/>
      <c r="S1544" s="8"/>
      <c r="T1544" s="8"/>
      <c r="U1544" s="8"/>
      <c r="V1544" s="8"/>
      <c r="Y1544" s="8"/>
      <c r="Z1544" s="8"/>
    </row>
    <row r="1545" ht="15.75" customHeight="1">
      <c r="Q1545" s="8"/>
      <c r="R1545" s="8"/>
      <c r="S1545" s="8"/>
      <c r="T1545" s="8"/>
      <c r="U1545" s="8"/>
      <c r="V1545" s="8"/>
      <c r="Y1545" s="8"/>
      <c r="Z1545" s="8"/>
    </row>
    <row r="1546" ht="15.75" customHeight="1">
      <c r="Q1546" s="8"/>
      <c r="R1546" s="8"/>
      <c r="S1546" s="8"/>
      <c r="T1546" s="8"/>
      <c r="U1546" s="8"/>
      <c r="V1546" s="8"/>
      <c r="Y1546" s="8"/>
      <c r="Z1546" s="8"/>
    </row>
    <row r="1547" ht="15.75" customHeight="1">
      <c r="Q1547" s="8"/>
      <c r="R1547" s="8"/>
      <c r="S1547" s="8"/>
      <c r="T1547" s="8"/>
      <c r="U1547" s="8"/>
      <c r="V1547" s="8"/>
      <c r="Y1547" s="8"/>
      <c r="Z1547" s="8"/>
    </row>
    <row r="1548" ht="15.75" customHeight="1">
      <c r="Q1548" s="8"/>
      <c r="R1548" s="8"/>
      <c r="S1548" s="8"/>
      <c r="T1548" s="8"/>
      <c r="U1548" s="8"/>
      <c r="V1548" s="8"/>
      <c r="Y1548" s="8"/>
      <c r="Z1548" s="8"/>
    </row>
    <row r="1549" ht="15.75" customHeight="1">
      <c r="Q1549" s="8"/>
      <c r="R1549" s="8"/>
      <c r="S1549" s="8"/>
      <c r="T1549" s="8"/>
      <c r="U1549" s="8"/>
      <c r="V1549" s="8"/>
      <c r="Y1549" s="8"/>
      <c r="Z1549" s="8"/>
    </row>
    <row r="1550" ht="15.75" customHeight="1">
      <c r="Q1550" s="8"/>
      <c r="R1550" s="8"/>
      <c r="S1550" s="8"/>
      <c r="T1550" s="8"/>
      <c r="U1550" s="8"/>
      <c r="V1550" s="8"/>
      <c r="Y1550" s="8"/>
      <c r="Z1550" s="8"/>
    </row>
    <row r="1551" ht="15.75" customHeight="1">
      <c r="Q1551" s="8"/>
      <c r="R1551" s="8"/>
      <c r="S1551" s="8"/>
      <c r="T1551" s="8"/>
      <c r="U1551" s="8"/>
      <c r="V1551" s="8"/>
      <c r="Y1551" s="8"/>
      <c r="Z1551" s="8"/>
    </row>
    <row r="1552" ht="15.75" customHeight="1">
      <c r="Q1552" s="8"/>
      <c r="R1552" s="8"/>
      <c r="S1552" s="8"/>
      <c r="T1552" s="8"/>
      <c r="U1552" s="8"/>
      <c r="V1552" s="8"/>
      <c r="Y1552" s="8"/>
      <c r="Z1552" s="8"/>
    </row>
    <row r="1553" ht="15.75" customHeight="1">
      <c r="Q1553" s="8"/>
      <c r="R1553" s="8"/>
      <c r="S1553" s="8"/>
      <c r="T1553" s="8"/>
      <c r="U1553" s="8"/>
      <c r="V1553" s="8"/>
      <c r="Y1553" s="8"/>
      <c r="Z1553" s="8"/>
    </row>
    <row r="1554" ht="15.75" customHeight="1">
      <c r="Q1554" s="8"/>
      <c r="R1554" s="8"/>
      <c r="S1554" s="8"/>
      <c r="T1554" s="8"/>
      <c r="U1554" s="8"/>
      <c r="V1554" s="8"/>
      <c r="Y1554" s="8"/>
      <c r="Z1554" s="8"/>
    </row>
    <row r="1555" ht="15.75" customHeight="1">
      <c r="Q1555" s="8"/>
      <c r="R1555" s="8"/>
      <c r="S1555" s="8"/>
      <c r="T1555" s="8"/>
      <c r="U1555" s="8"/>
      <c r="V1555" s="8"/>
      <c r="Y1555" s="8"/>
      <c r="Z1555" s="8"/>
    </row>
    <row r="1556" ht="15.75" customHeight="1">
      <c r="Q1556" s="8"/>
      <c r="R1556" s="8"/>
      <c r="S1556" s="8"/>
      <c r="T1556" s="8"/>
      <c r="U1556" s="8"/>
      <c r="V1556" s="8"/>
      <c r="Y1556" s="8"/>
      <c r="Z1556" s="8"/>
    </row>
    <row r="1557" ht="15.75" customHeight="1">
      <c r="Q1557" s="8"/>
      <c r="R1557" s="8"/>
      <c r="S1557" s="8"/>
      <c r="T1557" s="8"/>
      <c r="U1557" s="8"/>
      <c r="V1557" s="8"/>
      <c r="Y1557" s="8"/>
      <c r="Z1557" s="8"/>
    </row>
    <row r="1558" ht="15.75" customHeight="1">
      <c r="Q1558" s="8"/>
      <c r="R1558" s="8"/>
      <c r="S1558" s="8"/>
      <c r="T1558" s="8"/>
      <c r="U1558" s="8"/>
      <c r="V1558" s="8"/>
      <c r="Y1558" s="8"/>
      <c r="Z1558" s="8"/>
    </row>
    <row r="1559" ht="15.75" customHeight="1">
      <c r="Q1559" s="8"/>
      <c r="R1559" s="8"/>
      <c r="S1559" s="8"/>
      <c r="T1559" s="8"/>
      <c r="U1559" s="8"/>
      <c r="V1559" s="8"/>
      <c r="Y1559" s="8"/>
      <c r="Z1559" s="8"/>
    </row>
    <row r="1560" ht="15.75" customHeight="1">
      <c r="Q1560" s="8"/>
      <c r="R1560" s="8"/>
      <c r="S1560" s="8"/>
      <c r="T1560" s="8"/>
      <c r="U1560" s="8"/>
      <c r="V1560" s="8"/>
      <c r="Y1560" s="8"/>
      <c r="Z1560" s="8"/>
    </row>
    <row r="1561" ht="15.75" customHeight="1">
      <c r="Q1561" s="8"/>
      <c r="R1561" s="8"/>
      <c r="S1561" s="8"/>
      <c r="T1561" s="8"/>
      <c r="U1561" s="8"/>
      <c r="V1561" s="8"/>
      <c r="Y1561" s="8"/>
      <c r="Z1561" s="8"/>
    </row>
    <row r="1562" ht="15.75" customHeight="1">
      <c r="Q1562" s="8"/>
      <c r="R1562" s="8"/>
      <c r="S1562" s="8"/>
      <c r="T1562" s="8"/>
      <c r="U1562" s="8"/>
      <c r="V1562" s="8"/>
      <c r="Y1562" s="8"/>
      <c r="Z1562" s="8"/>
    </row>
    <row r="1563" ht="15.75" customHeight="1">
      <c r="Q1563" s="8"/>
      <c r="R1563" s="8"/>
      <c r="S1563" s="8"/>
      <c r="T1563" s="8"/>
      <c r="U1563" s="8"/>
      <c r="V1563" s="8"/>
      <c r="Y1563" s="8"/>
      <c r="Z1563" s="8"/>
    </row>
    <row r="1564" ht="15.75" customHeight="1">
      <c r="Q1564" s="8"/>
      <c r="R1564" s="8"/>
      <c r="S1564" s="8"/>
      <c r="T1564" s="8"/>
      <c r="U1564" s="8"/>
      <c r="V1564" s="8"/>
      <c r="Y1564" s="8"/>
      <c r="Z1564" s="8"/>
    </row>
    <row r="1565" ht="15.75" customHeight="1">
      <c r="Q1565" s="8"/>
      <c r="R1565" s="8"/>
      <c r="S1565" s="8"/>
      <c r="T1565" s="8"/>
      <c r="U1565" s="8"/>
      <c r="V1565" s="8"/>
      <c r="Y1565" s="8"/>
      <c r="Z1565" s="8"/>
    </row>
    <row r="1566" ht="15.75" customHeight="1">
      <c r="Q1566" s="8"/>
      <c r="R1566" s="8"/>
      <c r="S1566" s="8"/>
      <c r="T1566" s="8"/>
      <c r="U1566" s="8"/>
      <c r="V1566" s="8"/>
      <c r="Y1566" s="8"/>
      <c r="Z1566" s="8"/>
    </row>
    <row r="1567" ht="15.75" customHeight="1">
      <c r="Q1567" s="8"/>
      <c r="R1567" s="8"/>
      <c r="S1567" s="8"/>
      <c r="T1567" s="8"/>
      <c r="U1567" s="8"/>
      <c r="V1567" s="8"/>
      <c r="Y1567" s="8"/>
      <c r="Z1567" s="8"/>
    </row>
    <row r="1568" ht="15.75" customHeight="1">
      <c r="Q1568" s="8"/>
      <c r="R1568" s="8"/>
      <c r="S1568" s="8"/>
      <c r="T1568" s="8"/>
      <c r="U1568" s="8"/>
      <c r="V1568" s="8"/>
      <c r="Y1568" s="8"/>
      <c r="Z1568" s="8"/>
    </row>
    <row r="1569" ht="15.75" customHeight="1">
      <c r="Q1569" s="8"/>
      <c r="R1569" s="8"/>
      <c r="S1569" s="8"/>
      <c r="T1569" s="8"/>
      <c r="U1569" s="8"/>
      <c r="V1569" s="8"/>
      <c r="Y1569" s="8"/>
      <c r="Z1569" s="8"/>
    </row>
    <row r="1570" ht="15.75" customHeight="1">
      <c r="Q1570" s="8"/>
      <c r="R1570" s="8"/>
      <c r="S1570" s="8"/>
      <c r="T1570" s="8"/>
      <c r="U1570" s="8"/>
      <c r="V1570" s="8"/>
      <c r="Y1570" s="8"/>
      <c r="Z1570" s="8"/>
    </row>
    <row r="1571" ht="15.75" customHeight="1">
      <c r="Q1571" s="8"/>
      <c r="R1571" s="8"/>
      <c r="S1571" s="8"/>
      <c r="T1571" s="8"/>
      <c r="U1571" s="8"/>
      <c r="V1571" s="8"/>
      <c r="Y1571" s="8"/>
      <c r="Z1571" s="8"/>
    </row>
    <row r="1572" ht="15.75" customHeight="1">
      <c r="Q1572" s="8"/>
      <c r="R1572" s="8"/>
      <c r="S1572" s="8"/>
      <c r="T1572" s="8"/>
      <c r="U1572" s="8"/>
      <c r="V1572" s="8"/>
      <c r="Y1572" s="8"/>
      <c r="Z1572" s="8"/>
    </row>
    <row r="1573" ht="15.75" customHeight="1">
      <c r="Q1573" s="8"/>
      <c r="R1573" s="8"/>
      <c r="S1573" s="8"/>
      <c r="T1573" s="8"/>
      <c r="U1573" s="8"/>
      <c r="V1573" s="8"/>
      <c r="Y1573" s="8"/>
      <c r="Z1573" s="8"/>
    </row>
    <row r="1574" ht="15.75" customHeight="1">
      <c r="Q1574" s="8"/>
      <c r="R1574" s="8"/>
      <c r="S1574" s="8"/>
      <c r="T1574" s="8"/>
      <c r="U1574" s="8"/>
      <c r="V1574" s="8"/>
      <c r="Y1574" s="8"/>
      <c r="Z1574" s="8"/>
    </row>
    <row r="1575" ht="15.75" customHeight="1">
      <c r="Q1575" s="8"/>
      <c r="R1575" s="8"/>
      <c r="S1575" s="8"/>
      <c r="T1575" s="8"/>
      <c r="U1575" s="8"/>
      <c r="V1575" s="8"/>
      <c r="Y1575" s="8"/>
      <c r="Z1575" s="8"/>
    </row>
    <row r="1576" ht="15.75" customHeight="1">
      <c r="Q1576" s="8"/>
      <c r="R1576" s="8"/>
      <c r="S1576" s="8"/>
      <c r="T1576" s="8"/>
      <c r="U1576" s="8"/>
      <c r="V1576" s="8"/>
      <c r="Y1576" s="8"/>
      <c r="Z1576" s="8"/>
    </row>
    <row r="1577" ht="15.75" customHeight="1">
      <c r="Q1577" s="8"/>
      <c r="R1577" s="8"/>
      <c r="S1577" s="8"/>
      <c r="T1577" s="8"/>
      <c r="U1577" s="8"/>
      <c r="V1577" s="8"/>
      <c r="Y1577" s="8"/>
      <c r="Z1577" s="8"/>
    </row>
    <row r="1578" ht="15.75" customHeight="1">
      <c r="Q1578" s="8"/>
      <c r="R1578" s="8"/>
      <c r="S1578" s="8"/>
      <c r="T1578" s="8"/>
      <c r="U1578" s="8"/>
      <c r="V1578" s="8"/>
      <c r="Y1578" s="8"/>
      <c r="Z1578" s="8"/>
    </row>
    <row r="1579" ht="15.75" customHeight="1">
      <c r="Q1579" s="8"/>
      <c r="R1579" s="8"/>
      <c r="S1579" s="8"/>
      <c r="T1579" s="8"/>
      <c r="U1579" s="8"/>
      <c r="V1579" s="8"/>
      <c r="Y1579" s="8"/>
      <c r="Z1579" s="8"/>
    </row>
    <row r="1580" ht="15.75" customHeight="1">
      <c r="Q1580" s="8"/>
      <c r="R1580" s="8"/>
      <c r="S1580" s="8"/>
      <c r="T1580" s="8"/>
      <c r="U1580" s="8"/>
      <c r="V1580" s="8"/>
      <c r="Y1580" s="8"/>
      <c r="Z1580" s="8"/>
    </row>
    <row r="1581" ht="15.75" customHeight="1">
      <c r="Q1581" s="8"/>
      <c r="R1581" s="8"/>
      <c r="S1581" s="8"/>
      <c r="T1581" s="8"/>
      <c r="U1581" s="8"/>
      <c r="V1581" s="8"/>
      <c r="Y1581" s="8"/>
      <c r="Z1581" s="8"/>
    </row>
    <row r="1582" ht="15.75" customHeight="1">
      <c r="Q1582" s="8"/>
      <c r="R1582" s="8"/>
      <c r="S1582" s="8"/>
      <c r="T1582" s="8"/>
      <c r="U1582" s="8"/>
      <c r="V1582" s="8"/>
      <c r="Y1582" s="8"/>
      <c r="Z1582" s="8"/>
    </row>
    <row r="1583" ht="15.75" customHeight="1">
      <c r="Q1583" s="8"/>
      <c r="R1583" s="8"/>
      <c r="S1583" s="8"/>
      <c r="T1583" s="8"/>
      <c r="U1583" s="8"/>
      <c r="V1583" s="8"/>
      <c r="Y1583" s="8"/>
      <c r="Z1583" s="8"/>
    </row>
    <row r="1584" ht="15.75" customHeight="1">
      <c r="Q1584" s="8"/>
      <c r="R1584" s="8"/>
      <c r="S1584" s="8"/>
      <c r="T1584" s="8"/>
      <c r="U1584" s="8"/>
      <c r="V1584" s="8"/>
      <c r="Y1584" s="8"/>
      <c r="Z1584" s="8"/>
    </row>
    <row r="1585" ht="15.75" customHeight="1">
      <c r="Q1585" s="8"/>
      <c r="R1585" s="8"/>
      <c r="S1585" s="8"/>
      <c r="T1585" s="8"/>
      <c r="U1585" s="8"/>
      <c r="V1585" s="8"/>
      <c r="Y1585" s="8"/>
      <c r="Z1585" s="8"/>
    </row>
    <row r="1586" ht="15.75" customHeight="1">
      <c r="Q1586" s="8"/>
      <c r="R1586" s="8"/>
      <c r="S1586" s="8"/>
      <c r="T1586" s="8"/>
      <c r="U1586" s="8"/>
      <c r="V1586" s="8"/>
      <c r="Y1586" s="8"/>
      <c r="Z1586" s="8"/>
    </row>
    <row r="1587" ht="15.75" customHeight="1">
      <c r="Q1587" s="8"/>
      <c r="R1587" s="8"/>
      <c r="S1587" s="8"/>
      <c r="T1587" s="8"/>
      <c r="U1587" s="8"/>
      <c r="V1587" s="8"/>
      <c r="Y1587" s="8"/>
      <c r="Z1587" s="8"/>
    </row>
    <row r="1588" ht="15.75" customHeight="1">
      <c r="Q1588" s="8"/>
      <c r="R1588" s="8"/>
      <c r="S1588" s="8"/>
      <c r="T1588" s="8"/>
      <c r="U1588" s="8"/>
      <c r="V1588" s="8"/>
      <c r="Y1588" s="8"/>
      <c r="Z1588" s="8"/>
    </row>
    <row r="1589" ht="15.75" customHeight="1">
      <c r="Q1589" s="8"/>
      <c r="R1589" s="8"/>
      <c r="S1589" s="8"/>
      <c r="T1589" s="8"/>
      <c r="U1589" s="8"/>
      <c r="V1589" s="8"/>
      <c r="Y1589" s="8"/>
      <c r="Z1589" s="8"/>
    </row>
    <row r="1590" ht="15.75" customHeight="1">
      <c r="Q1590" s="8"/>
      <c r="R1590" s="8"/>
      <c r="S1590" s="8"/>
      <c r="T1590" s="8"/>
      <c r="U1590" s="8"/>
      <c r="V1590" s="8"/>
      <c r="Y1590" s="8"/>
      <c r="Z1590" s="8"/>
    </row>
    <row r="1591" ht="15.75" customHeight="1">
      <c r="Q1591" s="8"/>
      <c r="R1591" s="8"/>
      <c r="S1591" s="8"/>
      <c r="T1591" s="8"/>
      <c r="U1591" s="8"/>
      <c r="V1591" s="8"/>
      <c r="Y1591" s="8"/>
      <c r="Z1591" s="8"/>
    </row>
    <row r="1592" ht="15.75" customHeight="1">
      <c r="Q1592" s="8"/>
      <c r="R1592" s="8"/>
      <c r="S1592" s="8"/>
      <c r="T1592" s="8"/>
      <c r="U1592" s="8"/>
      <c r="V1592" s="8"/>
      <c r="Y1592" s="8"/>
      <c r="Z1592" s="8"/>
    </row>
    <row r="1593" ht="15.75" customHeight="1">
      <c r="Q1593" s="8"/>
      <c r="R1593" s="8"/>
      <c r="S1593" s="8"/>
      <c r="T1593" s="8"/>
      <c r="U1593" s="8"/>
      <c r="V1593" s="8"/>
      <c r="Y1593" s="8"/>
      <c r="Z1593" s="8"/>
    </row>
    <row r="1594" ht="15.75" customHeight="1">
      <c r="Q1594" s="8"/>
      <c r="R1594" s="8"/>
      <c r="S1594" s="8"/>
      <c r="T1594" s="8"/>
      <c r="U1594" s="8"/>
      <c r="V1594" s="8"/>
      <c r="Y1594" s="8"/>
      <c r="Z1594" s="8"/>
    </row>
    <row r="1595" ht="15.75" customHeight="1">
      <c r="Q1595" s="8"/>
      <c r="R1595" s="8"/>
      <c r="S1595" s="8"/>
      <c r="T1595" s="8"/>
      <c r="U1595" s="8"/>
      <c r="V1595" s="8"/>
      <c r="Y1595" s="8"/>
      <c r="Z1595" s="8"/>
    </row>
    <row r="1596" ht="15.75" customHeight="1">
      <c r="Q1596" s="8"/>
      <c r="R1596" s="8"/>
      <c r="S1596" s="8"/>
      <c r="T1596" s="8"/>
      <c r="U1596" s="8"/>
      <c r="V1596" s="8"/>
      <c r="Y1596" s="8"/>
      <c r="Z1596" s="8"/>
    </row>
    <row r="1597" ht="15.75" customHeight="1">
      <c r="Q1597" s="8"/>
      <c r="R1597" s="8"/>
      <c r="S1597" s="8"/>
      <c r="T1597" s="8"/>
      <c r="U1597" s="8"/>
      <c r="V1597" s="8"/>
      <c r="Y1597" s="8"/>
      <c r="Z1597" s="8"/>
    </row>
    <row r="1598" ht="15.75" customHeight="1">
      <c r="Q1598" s="8"/>
      <c r="R1598" s="8"/>
      <c r="S1598" s="8"/>
      <c r="T1598" s="8"/>
      <c r="U1598" s="8"/>
      <c r="V1598" s="8"/>
      <c r="Y1598" s="8"/>
      <c r="Z1598" s="8"/>
    </row>
    <row r="1599" ht="15.75" customHeight="1">
      <c r="Q1599" s="8"/>
      <c r="R1599" s="8"/>
      <c r="S1599" s="8"/>
      <c r="T1599" s="8"/>
      <c r="U1599" s="8"/>
      <c r="V1599" s="8"/>
      <c r="Y1599" s="8"/>
      <c r="Z1599" s="8"/>
    </row>
    <row r="1600" ht="15.75" customHeight="1">
      <c r="Q1600" s="8"/>
      <c r="R1600" s="8"/>
      <c r="S1600" s="8"/>
      <c r="T1600" s="8"/>
      <c r="U1600" s="8"/>
      <c r="V1600" s="8"/>
      <c r="Y1600" s="8"/>
      <c r="Z1600" s="8"/>
    </row>
    <row r="1601" ht="15.75" customHeight="1">
      <c r="Q1601" s="8"/>
      <c r="R1601" s="8"/>
      <c r="S1601" s="8"/>
      <c r="T1601" s="8"/>
      <c r="U1601" s="8"/>
      <c r="V1601" s="8"/>
      <c r="Y1601" s="8"/>
      <c r="Z1601" s="8"/>
    </row>
    <row r="1602" ht="15.75" customHeight="1">
      <c r="Q1602" s="8"/>
      <c r="R1602" s="8"/>
      <c r="S1602" s="8"/>
      <c r="T1602" s="8"/>
      <c r="U1602" s="8"/>
      <c r="V1602" s="8"/>
      <c r="Y1602" s="8"/>
      <c r="Z1602" s="8"/>
    </row>
    <row r="1603" ht="15.75" customHeight="1">
      <c r="Q1603" s="8"/>
      <c r="R1603" s="8"/>
      <c r="S1603" s="8"/>
      <c r="T1603" s="8"/>
      <c r="U1603" s="8"/>
      <c r="V1603" s="8"/>
      <c r="Y1603" s="8"/>
      <c r="Z1603" s="8"/>
    </row>
    <row r="1604" ht="15.75" customHeight="1">
      <c r="Q1604" s="8"/>
      <c r="R1604" s="8"/>
      <c r="S1604" s="8"/>
      <c r="T1604" s="8"/>
      <c r="U1604" s="8"/>
      <c r="V1604" s="8"/>
      <c r="Y1604" s="8"/>
      <c r="Z1604" s="8"/>
    </row>
    <row r="1605" ht="15.75" customHeight="1">
      <c r="Q1605" s="8"/>
      <c r="R1605" s="8"/>
      <c r="S1605" s="8"/>
      <c r="T1605" s="8"/>
      <c r="U1605" s="8"/>
      <c r="V1605" s="8"/>
      <c r="Y1605" s="8"/>
      <c r="Z1605" s="8"/>
    </row>
    <row r="1606" ht="15.75" customHeight="1">
      <c r="Q1606" s="8"/>
      <c r="R1606" s="8"/>
      <c r="S1606" s="8"/>
      <c r="T1606" s="8"/>
      <c r="U1606" s="8"/>
      <c r="V1606" s="8"/>
      <c r="Y1606" s="8"/>
      <c r="Z1606" s="8"/>
    </row>
    <row r="1607" ht="15.75" customHeight="1">
      <c r="Q1607" s="8"/>
      <c r="R1607" s="8"/>
      <c r="S1607" s="8"/>
      <c r="T1607" s="8"/>
      <c r="U1607" s="8"/>
      <c r="V1607" s="8"/>
      <c r="Y1607" s="8"/>
      <c r="Z1607" s="8"/>
    </row>
    <row r="1608" ht="15.75" customHeight="1">
      <c r="Q1608" s="8"/>
      <c r="R1608" s="8"/>
      <c r="S1608" s="8"/>
      <c r="T1608" s="8"/>
      <c r="U1608" s="8"/>
      <c r="V1608" s="8"/>
      <c r="Y1608" s="8"/>
      <c r="Z1608" s="8"/>
    </row>
    <row r="1609" ht="15.75" customHeight="1">
      <c r="Q1609" s="8"/>
      <c r="R1609" s="8"/>
      <c r="S1609" s="8"/>
      <c r="T1609" s="8"/>
      <c r="U1609" s="8"/>
      <c r="V1609" s="8"/>
      <c r="Y1609" s="8"/>
      <c r="Z1609" s="8"/>
    </row>
    <row r="1610" ht="15.75" customHeight="1">
      <c r="Q1610" s="8"/>
      <c r="R1610" s="8"/>
      <c r="S1610" s="8"/>
      <c r="T1610" s="8"/>
      <c r="U1610" s="8"/>
      <c r="V1610" s="8"/>
      <c r="Y1610" s="8"/>
      <c r="Z1610" s="8"/>
    </row>
    <row r="1611" ht="15.75" customHeight="1">
      <c r="Q1611" s="8"/>
      <c r="R1611" s="8"/>
      <c r="S1611" s="8"/>
      <c r="T1611" s="8"/>
      <c r="U1611" s="8"/>
      <c r="V1611" s="8"/>
      <c r="Y1611" s="8"/>
      <c r="Z1611" s="8"/>
    </row>
    <row r="1612" ht="15.75" customHeight="1">
      <c r="Q1612" s="8"/>
      <c r="R1612" s="8"/>
      <c r="S1612" s="8"/>
      <c r="T1612" s="8"/>
      <c r="U1612" s="8"/>
      <c r="V1612" s="8"/>
      <c r="Y1612" s="8"/>
      <c r="Z1612" s="8"/>
    </row>
    <row r="1613" ht="15.75" customHeight="1">
      <c r="Q1613" s="8"/>
      <c r="R1613" s="8"/>
      <c r="S1613" s="8"/>
      <c r="T1613" s="8"/>
      <c r="U1613" s="8"/>
      <c r="V1613" s="8"/>
      <c r="Y1613" s="8"/>
      <c r="Z1613" s="8"/>
    </row>
    <row r="1614" ht="15.75" customHeight="1">
      <c r="Q1614" s="8"/>
      <c r="R1614" s="8"/>
      <c r="S1614" s="8"/>
      <c r="T1614" s="8"/>
      <c r="U1614" s="8"/>
      <c r="V1614" s="8"/>
      <c r="Y1614" s="8"/>
      <c r="Z1614" s="8"/>
    </row>
    <row r="1615" ht="15.75" customHeight="1">
      <c r="Q1615" s="8"/>
      <c r="R1615" s="8"/>
      <c r="S1615" s="8"/>
      <c r="T1615" s="8"/>
      <c r="U1615" s="8"/>
      <c r="V1615" s="8"/>
      <c r="Y1615" s="8"/>
      <c r="Z1615" s="8"/>
    </row>
    <row r="1616" ht="15.75" customHeight="1">
      <c r="Q1616" s="8"/>
      <c r="R1616" s="8"/>
      <c r="S1616" s="8"/>
      <c r="T1616" s="8"/>
      <c r="U1616" s="8"/>
      <c r="V1616" s="8"/>
      <c r="Y1616" s="8"/>
      <c r="Z1616" s="8"/>
    </row>
    <row r="1617" ht="15.75" customHeight="1">
      <c r="Q1617" s="8"/>
      <c r="R1617" s="8"/>
      <c r="S1617" s="8"/>
      <c r="T1617" s="8"/>
      <c r="U1617" s="8"/>
      <c r="V1617" s="8"/>
      <c r="Y1617" s="8"/>
      <c r="Z1617" s="8"/>
    </row>
    <row r="1618" ht="15.75" customHeight="1">
      <c r="Q1618" s="8"/>
      <c r="R1618" s="8"/>
      <c r="S1618" s="8"/>
      <c r="T1618" s="8"/>
      <c r="U1618" s="8"/>
      <c r="V1618" s="8"/>
      <c r="Y1618" s="8"/>
      <c r="Z1618" s="8"/>
    </row>
    <row r="1619" ht="15.75" customHeight="1">
      <c r="Q1619" s="8"/>
      <c r="R1619" s="8"/>
      <c r="S1619" s="8"/>
      <c r="T1619" s="8"/>
      <c r="U1619" s="8"/>
      <c r="V1619" s="8"/>
      <c r="Y1619" s="8"/>
      <c r="Z1619" s="8"/>
    </row>
    <row r="1620" ht="15.75" customHeight="1">
      <c r="Q1620" s="8"/>
      <c r="R1620" s="8"/>
      <c r="S1620" s="8"/>
      <c r="T1620" s="8"/>
      <c r="U1620" s="8"/>
      <c r="V1620" s="8"/>
      <c r="Y1620" s="8"/>
      <c r="Z1620" s="8"/>
    </row>
    <row r="1621" ht="15.75" customHeight="1">
      <c r="Q1621" s="8"/>
      <c r="R1621" s="8"/>
      <c r="S1621" s="8"/>
      <c r="T1621" s="8"/>
      <c r="U1621" s="8"/>
      <c r="V1621" s="8"/>
      <c r="Y1621" s="8"/>
      <c r="Z1621" s="8"/>
    </row>
    <row r="1622" ht="15.75" customHeight="1">
      <c r="Q1622" s="8"/>
      <c r="R1622" s="8"/>
      <c r="S1622" s="8"/>
      <c r="T1622" s="8"/>
      <c r="U1622" s="8"/>
      <c r="V1622" s="8"/>
      <c r="Y1622" s="8"/>
      <c r="Z1622" s="8"/>
    </row>
    <row r="1623" ht="15.75" customHeight="1">
      <c r="Q1623" s="8"/>
      <c r="R1623" s="8"/>
      <c r="S1623" s="8"/>
      <c r="T1623" s="8"/>
      <c r="U1623" s="8"/>
      <c r="V1623" s="8"/>
      <c r="Y1623" s="8"/>
      <c r="Z1623" s="8"/>
    </row>
    <row r="1624" ht="15.75" customHeight="1">
      <c r="Q1624" s="8"/>
      <c r="R1624" s="8"/>
      <c r="S1624" s="8"/>
      <c r="T1624" s="8"/>
      <c r="U1624" s="8"/>
      <c r="V1624" s="8"/>
      <c r="Y1624" s="8"/>
      <c r="Z1624" s="8"/>
    </row>
    <row r="1625" ht="15.75" customHeight="1">
      <c r="Q1625" s="8"/>
      <c r="R1625" s="8"/>
      <c r="S1625" s="8"/>
      <c r="T1625" s="8"/>
      <c r="U1625" s="8"/>
      <c r="V1625" s="8"/>
      <c r="Y1625" s="8"/>
      <c r="Z1625" s="8"/>
    </row>
    <row r="1626" ht="15.75" customHeight="1">
      <c r="Q1626" s="8"/>
      <c r="R1626" s="8"/>
      <c r="S1626" s="8"/>
      <c r="T1626" s="8"/>
      <c r="U1626" s="8"/>
      <c r="V1626" s="8"/>
      <c r="Y1626" s="8"/>
      <c r="Z1626" s="8"/>
    </row>
    <row r="1627" ht="15.75" customHeight="1">
      <c r="Q1627" s="8"/>
      <c r="R1627" s="8"/>
      <c r="S1627" s="8"/>
      <c r="T1627" s="8"/>
      <c r="U1627" s="8"/>
      <c r="V1627" s="8"/>
      <c r="Y1627" s="8"/>
      <c r="Z1627" s="8"/>
    </row>
    <row r="1628" ht="15.75" customHeight="1">
      <c r="Q1628" s="8"/>
      <c r="R1628" s="8"/>
      <c r="S1628" s="8"/>
      <c r="T1628" s="8"/>
      <c r="U1628" s="8"/>
      <c r="V1628" s="8"/>
      <c r="Y1628" s="8"/>
      <c r="Z1628" s="8"/>
    </row>
    <row r="1629" ht="15.75" customHeight="1">
      <c r="Q1629" s="8"/>
      <c r="R1629" s="8"/>
      <c r="S1629" s="8"/>
      <c r="T1629" s="8"/>
      <c r="U1629" s="8"/>
      <c r="V1629" s="8"/>
      <c r="Y1629" s="8"/>
      <c r="Z1629" s="8"/>
    </row>
    <row r="1630" ht="15.75" customHeight="1">
      <c r="Q1630" s="8"/>
      <c r="R1630" s="8"/>
      <c r="S1630" s="8"/>
      <c r="T1630" s="8"/>
      <c r="U1630" s="8"/>
      <c r="V1630" s="8"/>
      <c r="Y1630" s="8"/>
      <c r="Z1630" s="8"/>
    </row>
    <row r="1631" ht="15.75" customHeight="1">
      <c r="Q1631" s="8"/>
      <c r="R1631" s="8"/>
      <c r="S1631" s="8"/>
      <c r="T1631" s="8"/>
      <c r="U1631" s="8"/>
      <c r="V1631" s="8"/>
      <c r="Y1631" s="8"/>
      <c r="Z1631" s="8"/>
    </row>
    <row r="1632" ht="15.75" customHeight="1">
      <c r="Q1632" s="8"/>
      <c r="R1632" s="8"/>
      <c r="S1632" s="8"/>
      <c r="T1632" s="8"/>
      <c r="U1632" s="8"/>
      <c r="V1632" s="8"/>
      <c r="Y1632" s="8"/>
      <c r="Z1632" s="8"/>
    </row>
    <row r="1633" ht="15.75" customHeight="1">
      <c r="Q1633" s="8"/>
      <c r="R1633" s="8"/>
      <c r="S1633" s="8"/>
      <c r="T1633" s="8"/>
      <c r="U1633" s="8"/>
      <c r="V1633" s="8"/>
      <c r="Y1633" s="8"/>
      <c r="Z1633" s="8"/>
    </row>
    <row r="1634" ht="15.75" customHeight="1">
      <c r="Q1634" s="8"/>
      <c r="R1634" s="8"/>
      <c r="S1634" s="8"/>
      <c r="T1634" s="8"/>
      <c r="U1634" s="8"/>
      <c r="V1634" s="8"/>
      <c r="Y1634" s="8"/>
      <c r="Z1634" s="8"/>
    </row>
    <row r="1635" ht="15.75" customHeight="1">
      <c r="Q1635" s="8"/>
      <c r="R1635" s="8"/>
      <c r="S1635" s="8"/>
      <c r="T1635" s="8"/>
      <c r="U1635" s="8"/>
      <c r="V1635" s="8"/>
      <c r="Y1635" s="8"/>
      <c r="Z1635" s="8"/>
    </row>
    <row r="1636" ht="15.75" customHeight="1">
      <c r="Q1636" s="8"/>
      <c r="R1636" s="8"/>
      <c r="S1636" s="8"/>
      <c r="T1636" s="8"/>
      <c r="U1636" s="8"/>
      <c r="V1636" s="8"/>
      <c r="Y1636" s="8"/>
      <c r="Z1636" s="8"/>
    </row>
    <row r="1637" ht="15.75" customHeight="1">
      <c r="Q1637" s="8"/>
      <c r="R1637" s="8"/>
      <c r="S1637" s="8"/>
      <c r="T1637" s="8"/>
      <c r="U1637" s="8"/>
      <c r="V1637" s="8"/>
      <c r="Y1637" s="8"/>
      <c r="Z1637" s="8"/>
    </row>
    <row r="1638" ht="15.75" customHeight="1">
      <c r="Q1638" s="8"/>
      <c r="R1638" s="8"/>
      <c r="S1638" s="8"/>
      <c r="T1638" s="8"/>
      <c r="U1638" s="8"/>
      <c r="V1638" s="8"/>
      <c r="Y1638" s="8"/>
      <c r="Z1638" s="8"/>
    </row>
    <row r="1639" ht="15.75" customHeight="1">
      <c r="Q1639" s="8"/>
      <c r="R1639" s="8"/>
      <c r="S1639" s="8"/>
      <c r="T1639" s="8"/>
      <c r="U1639" s="8"/>
      <c r="V1639" s="8"/>
      <c r="Y1639" s="8"/>
      <c r="Z1639" s="8"/>
    </row>
    <row r="1640" ht="15.75" customHeight="1">
      <c r="Q1640" s="8"/>
      <c r="R1640" s="8"/>
      <c r="S1640" s="8"/>
      <c r="T1640" s="8"/>
      <c r="U1640" s="8"/>
      <c r="V1640" s="8"/>
      <c r="Y1640" s="8"/>
      <c r="Z1640" s="8"/>
    </row>
    <row r="1641" ht="15.75" customHeight="1">
      <c r="Q1641" s="8"/>
      <c r="R1641" s="8"/>
      <c r="S1641" s="8"/>
      <c r="T1641" s="8"/>
      <c r="U1641" s="8"/>
      <c r="V1641" s="8"/>
      <c r="Y1641" s="8"/>
      <c r="Z1641" s="8"/>
    </row>
    <row r="1642" ht="15.75" customHeight="1">
      <c r="Q1642" s="8"/>
      <c r="R1642" s="8"/>
      <c r="S1642" s="8"/>
      <c r="T1642" s="8"/>
      <c r="U1642" s="8"/>
      <c r="V1642" s="8"/>
      <c r="Y1642" s="8"/>
      <c r="Z1642" s="8"/>
    </row>
    <row r="1643" ht="15.75" customHeight="1">
      <c r="Q1643" s="8"/>
      <c r="R1643" s="8"/>
      <c r="S1643" s="8"/>
      <c r="T1643" s="8"/>
      <c r="U1643" s="8"/>
      <c r="V1643" s="8"/>
      <c r="Y1643" s="8"/>
      <c r="Z1643" s="8"/>
    </row>
    <row r="1644" ht="15.75" customHeight="1">
      <c r="Q1644" s="8"/>
      <c r="R1644" s="8"/>
      <c r="S1644" s="8"/>
      <c r="T1644" s="8"/>
      <c r="U1644" s="8"/>
      <c r="V1644" s="8"/>
      <c r="Y1644" s="8"/>
      <c r="Z1644" s="8"/>
    </row>
    <row r="1645" ht="15.75" customHeight="1">
      <c r="Q1645" s="8"/>
      <c r="R1645" s="8"/>
      <c r="S1645" s="8"/>
      <c r="T1645" s="8"/>
      <c r="U1645" s="8"/>
      <c r="V1645" s="8"/>
      <c r="Y1645" s="8"/>
      <c r="Z1645" s="8"/>
    </row>
    <row r="1646" ht="15.75" customHeight="1">
      <c r="Q1646" s="8"/>
      <c r="R1646" s="8"/>
      <c r="S1646" s="8"/>
      <c r="T1646" s="8"/>
      <c r="U1646" s="8"/>
      <c r="V1646" s="8"/>
      <c r="Y1646" s="8"/>
      <c r="Z1646" s="8"/>
    </row>
    <row r="1647" ht="15.75" customHeight="1">
      <c r="Q1647" s="8"/>
      <c r="R1647" s="8"/>
      <c r="S1647" s="8"/>
      <c r="T1647" s="8"/>
      <c r="U1647" s="8"/>
      <c r="V1647" s="8"/>
      <c r="Y1647" s="8"/>
      <c r="Z1647" s="8"/>
    </row>
    <row r="1648" ht="15.75" customHeight="1">
      <c r="Q1648" s="8"/>
      <c r="R1648" s="8"/>
      <c r="S1648" s="8"/>
      <c r="T1648" s="8"/>
      <c r="U1648" s="8"/>
      <c r="V1648" s="8"/>
      <c r="Y1648" s="8"/>
      <c r="Z1648" s="8"/>
    </row>
    <row r="1649" ht="15.75" customHeight="1">
      <c r="Q1649" s="8"/>
      <c r="R1649" s="8"/>
      <c r="S1649" s="8"/>
      <c r="T1649" s="8"/>
      <c r="U1649" s="8"/>
      <c r="V1649" s="8"/>
      <c r="Y1649" s="8"/>
      <c r="Z1649" s="8"/>
    </row>
    <row r="1650" ht="15.75" customHeight="1">
      <c r="Q1650" s="8"/>
      <c r="R1650" s="8"/>
      <c r="S1650" s="8"/>
      <c r="T1650" s="8"/>
      <c r="U1650" s="8"/>
      <c r="V1650" s="8"/>
      <c r="Y1650" s="8"/>
      <c r="Z1650" s="8"/>
    </row>
    <row r="1651" ht="15.75" customHeight="1">
      <c r="Q1651" s="8"/>
      <c r="R1651" s="8"/>
      <c r="S1651" s="8"/>
      <c r="T1651" s="8"/>
      <c r="U1651" s="8"/>
      <c r="V1651" s="8"/>
      <c r="Y1651" s="8"/>
      <c r="Z1651" s="8"/>
    </row>
    <row r="1652" ht="15.75" customHeight="1">
      <c r="Q1652" s="8"/>
      <c r="R1652" s="8"/>
      <c r="S1652" s="8"/>
      <c r="T1652" s="8"/>
      <c r="U1652" s="8"/>
      <c r="V1652" s="8"/>
      <c r="Y1652" s="8"/>
      <c r="Z1652" s="8"/>
    </row>
    <row r="1653" ht="15.75" customHeight="1">
      <c r="Q1653" s="8"/>
      <c r="R1653" s="8"/>
      <c r="S1653" s="8"/>
      <c r="T1653" s="8"/>
      <c r="U1653" s="8"/>
      <c r="V1653" s="8"/>
      <c r="Y1653" s="8"/>
      <c r="Z1653" s="8"/>
    </row>
    <row r="1654" ht="15.75" customHeight="1">
      <c r="Q1654" s="8"/>
      <c r="R1654" s="8"/>
      <c r="S1654" s="8"/>
      <c r="T1654" s="8"/>
      <c r="U1654" s="8"/>
      <c r="V1654" s="8"/>
      <c r="Y1654" s="8"/>
      <c r="Z1654" s="8"/>
    </row>
    <row r="1655" ht="15.75" customHeight="1">
      <c r="Q1655" s="8"/>
      <c r="R1655" s="8"/>
      <c r="S1655" s="8"/>
      <c r="T1655" s="8"/>
      <c r="U1655" s="8"/>
      <c r="V1655" s="8"/>
      <c r="Y1655" s="8"/>
      <c r="Z1655" s="8"/>
    </row>
    <row r="1656" ht="15.75" customHeight="1">
      <c r="Q1656" s="8"/>
      <c r="R1656" s="8"/>
      <c r="S1656" s="8"/>
      <c r="T1656" s="8"/>
      <c r="U1656" s="8"/>
      <c r="V1656" s="8"/>
      <c r="Y1656" s="8"/>
      <c r="Z1656" s="8"/>
    </row>
    <row r="1657" ht="15.75" customHeight="1">
      <c r="Q1657" s="8"/>
      <c r="R1657" s="8"/>
      <c r="S1657" s="8"/>
      <c r="T1657" s="8"/>
      <c r="U1657" s="8"/>
      <c r="V1657" s="8"/>
      <c r="Y1657" s="8"/>
      <c r="Z1657" s="8"/>
    </row>
    <row r="1658" ht="15.75" customHeight="1">
      <c r="Q1658" s="8"/>
      <c r="R1658" s="8"/>
      <c r="S1658" s="8"/>
      <c r="T1658" s="8"/>
      <c r="U1658" s="8"/>
      <c r="V1658" s="8"/>
      <c r="Y1658" s="8"/>
      <c r="Z1658" s="8"/>
    </row>
    <row r="1659" ht="15.75" customHeight="1">
      <c r="Q1659" s="8"/>
      <c r="R1659" s="8"/>
      <c r="S1659" s="8"/>
      <c r="T1659" s="8"/>
      <c r="U1659" s="8"/>
      <c r="V1659" s="8"/>
      <c r="Y1659" s="8"/>
      <c r="Z1659" s="8"/>
    </row>
    <row r="1660" ht="15.75" customHeight="1">
      <c r="Q1660" s="8"/>
      <c r="R1660" s="8"/>
      <c r="S1660" s="8"/>
      <c r="T1660" s="8"/>
      <c r="U1660" s="8"/>
      <c r="V1660" s="8"/>
      <c r="Y1660" s="8"/>
      <c r="Z1660" s="8"/>
    </row>
    <row r="1661" ht="15.75" customHeight="1">
      <c r="Q1661" s="8"/>
      <c r="R1661" s="8"/>
      <c r="S1661" s="8"/>
      <c r="T1661" s="8"/>
      <c r="U1661" s="8"/>
      <c r="V1661" s="8"/>
      <c r="Y1661" s="8"/>
      <c r="Z1661" s="8"/>
    </row>
    <row r="1662" ht="15.75" customHeight="1">
      <c r="Q1662" s="8"/>
      <c r="R1662" s="8"/>
      <c r="S1662" s="8"/>
      <c r="T1662" s="8"/>
      <c r="U1662" s="8"/>
      <c r="V1662" s="8"/>
      <c r="Y1662" s="8"/>
      <c r="Z1662" s="8"/>
    </row>
    <row r="1663" ht="15.75" customHeight="1">
      <c r="Q1663" s="8"/>
      <c r="R1663" s="8"/>
      <c r="S1663" s="8"/>
      <c r="T1663" s="8"/>
      <c r="U1663" s="8"/>
      <c r="V1663" s="8"/>
      <c r="Y1663" s="8"/>
      <c r="Z1663" s="8"/>
    </row>
    <row r="1664" ht="15.75" customHeight="1">
      <c r="Q1664" s="8"/>
      <c r="R1664" s="8"/>
      <c r="S1664" s="8"/>
      <c r="T1664" s="8"/>
      <c r="U1664" s="8"/>
      <c r="V1664" s="8"/>
      <c r="Y1664" s="8"/>
      <c r="Z1664" s="8"/>
    </row>
    <row r="1665" ht="15.75" customHeight="1">
      <c r="Q1665" s="8"/>
      <c r="R1665" s="8"/>
      <c r="S1665" s="8"/>
      <c r="T1665" s="8"/>
      <c r="U1665" s="8"/>
      <c r="V1665" s="8"/>
      <c r="Y1665" s="8"/>
      <c r="Z1665" s="8"/>
    </row>
    <row r="1666" ht="15.75" customHeight="1">
      <c r="Q1666" s="8"/>
      <c r="R1666" s="8"/>
      <c r="S1666" s="8"/>
      <c r="T1666" s="8"/>
      <c r="U1666" s="8"/>
      <c r="V1666" s="8"/>
      <c r="Y1666" s="8"/>
      <c r="Z1666" s="8"/>
    </row>
    <row r="1667" ht="15.75" customHeight="1">
      <c r="Q1667" s="8"/>
      <c r="R1667" s="8"/>
      <c r="S1667" s="8"/>
      <c r="T1667" s="8"/>
      <c r="U1667" s="8"/>
      <c r="V1667" s="8"/>
      <c r="Y1667" s="8"/>
      <c r="Z1667" s="8"/>
    </row>
    <row r="1668" ht="15.75" customHeight="1">
      <c r="Q1668" s="8"/>
      <c r="R1668" s="8"/>
      <c r="S1668" s="8"/>
      <c r="T1668" s="8"/>
      <c r="U1668" s="8"/>
      <c r="V1668" s="8"/>
      <c r="Y1668" s="8"/>
      <c r="Z1668" s="8"/>
    </row>
    <row r="1669" ht="15.75" customHeight="1">
      <c r="Q1669" s="8"/>
      <c r="R1669" s="8"/>
      <c r="S1669" s="8"/>
      <c r="T1669" s="8"/>
      <c r="U1669" s="8"/>
      <c r="V1669" s="8"/>
      <c r="Y1669" s="8"/>
      <c r="Z1669" s="8"/>
    </row>
    <row r="1670" ht="15.75" customHeight="1">
      <c r="Q1670" s="8"/>
      <c r="R1670" s="8"/>
      <c r="S1670" s="8"/>
      <c r="T1670" s="8"/>
      <c r="U1670" s="8"/>
      <c r="V1670" s="8"/>
      <c r="Y1670" s="8"/>
      <c r="Z1670" s="8"/>
    </row>
    <row r="1671" ht="15.75" customHeight="1">
      <c r="Q1671" s="8"/>
      <c r="R1671" s="8"/>
      <c r="S1671" s="8"/>
      <c r="T1671" s="8"/>
      <c r="U1671" s="8"/>
      <c r="V1671" s="8"/>
      <c r="Y1671" s="8"/>
      <c r="Z1671" s="8"/>
    </row>
    <row r="1672" ht="15.75" customHeight="1">
      <c r="Q1672" s="8"/>
      <c r="R1672" s="8"/>
      <c r="S1672" s="8"/>
      <c r="T1672" s="8"/>
      <c r="U1672" s="8"/>
      <c r="V1672" s="8"/>
      <c r="Y1672" s="8"/>
      <c r="Z1672" s="8"/>
    </row>
    <row r="1673" ht="15.75" customHeight="1">
      <c r="Q1673" s="8"/>
      <c r="R1673" s="8"/>
      <c r="S1673" s="8"/>
      <c r="T1673" s="8"/>
      <c r="U1673" s="8"/>
      <c r="V1673" s="8"/>
      <c r="Y1673" s="8"/>
      <c r="Z1673" s="8"/>
    </row>
    <row r="1674" ht="15.75" customHeight="1">
      <c r="Q1674" s="8"/>
      <c r="R1674" s="8"/>
      <c r="S1674" s="8"/>
      <c r="T1674" s="8"/>
      <c r="U1674" s="8"/>
      <c r="V1674" s="8"/>
      <c r="Y1674" s="8"/>
      <c r="Z1674" s="8"/>
    </row>
    <row r="1675" ht="15.75" customHeight="1">
      <c r="Q1675" s="8"/>
      <c r="R1675" s="8"/>
      <c r="S1675" s="8"/>
      <c r="T1675" s="8"/>
      <c r="U1675" s="8"/>
      <c r="V1675" s="8"/>
      <c r="Y1675" s="8"/>
      <c r="Z1675" s="8"/>
    </row>
    <row r="1676" ht="15.75" customHeight="1">
      <c r="Q1676" s="8"/>
      <c r="R1676" s="8"/>
      <c r="S1676" s="8"/>
      <c r="T1676" s="8"/>
      <c r="U1676" s="8"/>
      <c r="V1676" s="8"/>
      <c r="Y1676" s="8"/>
      <c r="Z1676" s="8"/>
    </row>
    <row r="1677" ht="15.75" customHeight="1">
      <c r="Q1677" s="8"/>
      <c r="R1677" s="8"/>
      <c r="S1677" s="8"/>
      <c r="T1677" s="8"/>
      <c r="U1677" s="8"/>
      <c r="V1677" s="8"/>
      <c r="Y1677" s="8"/>
      <c r="Z1677" s="8"/>
    </row>
    <row r="1678" ht="15.75" customHeight="1">
      <c r="Q1678" s="8"/>
      <c r="R1678" s="8"/>
      <c r="S1678" s="8"/>
      <c r="T1678" s="8"/>
      <c r="U1678" s="8"/>
      <c r="V1678" s="8"/>
      <c r="Y1678" s="8"/>
      <c r="Z1678" s="8"/>
    </row>
    <row r="1679" ht="15.75" customHeight="1">
      <c r="Q1679" s="8"/>
      <c r="R1679" s="8"/>
      <c r="S1679" s="8"/>
      <c r="T1679" s="8"/>
      <c r="U1679" s="8"/>
      <c r="V1679" s="8"/>
      <c r="Y1679" s="8"/>
      <c r="Z1679" s="8"/>
    </row>
    <row r="1680" ht="15.75" customHeight="1">
      <c r="Q1680" s="8"/>
      <c r="R1680" s="8"/>
      <c r="S1680" s="8"/>
      <c r="T1680" s="8"/>
      <c r="U1680" s="8"/>
      <c r="V1680" s="8"/>
      <c r="Y1680" s="8"/>
      <c r="Z1680" s="8"/>
    </row>
    <row r="1681" ht="15.75" customHeight="1">
      <c r="Q1681" s="8"/>
      <c r="R1681" s="8"/>
      <c r="S1681" s="8"/>
      <c r="T1681" s="8"/>
      <c r="U1681" s="8"/>
      <c r="V1681" s="8"/>
      <c r="Y1681" s="8"/>
      <c r="Z1681" s="8"/>
    </row>
    <row r="1682" ht="15.75" customHeight="1">
      <c r="Q1682" s="8"/>
      <c r="R1682" s="8"/>
      <c r="S1682" s="8"/>
      <c r="T1682" s="8"/>
      <c r="U1682" s="8"/>
      <c r="V1682" s="8"/>
      <c r="Y1682" s="8"/>
      <c r="Z1682" s="8"/>
    </row>
    <row r="1683" ht="15.75" customHeight="1">
      <c r="Q1683" s="8"/>
      <c r="R1683" s="8"/>
      <c r="S1683" s="8"/>
      <c r="T1683" s="8"/>
      <c r="U1683" s="8"/>
      <c r="V1683" s="8"/>
      <c r="Y1683" s="8"/>
      <c r="Z1683" s="8"/>
    </row>
    <row r="1684" ht="15.75" customHeight="1">
      <c r="Q1684" s="8"/>
      <c r="R1684" s="8"/>
      <c r="S1684" s="8"/>
      <c r="T1684" s="8"/>
      <c r="U1684" s="8"/>
      <c r="V1684" s="8"/>
      <c r="Y1684" s="8"/>
      <c r="Z1684" s="8"/>
    </row>
    <row r="1685" ht="15.75" customHeight="1">
      <c r="Q1685" s="8"/>
      <c r="R1685" s="8"/>
      <c r="S1685" s="8"/>
      <c r="T1685" s="8"/>
      <c r="U1685" s="8"/>
      <c r="V1685" s="8"/>
      <c r="Y1685" s="8"/>
      <c r="Z1685" s="8"/>
    </row>
    <row r="1686" ht="15.75" customHeight="1">
      <c r="Q1686" s="8"/>
      <c r="R1686" s="8"/>
      <c r="S1686" s="8"/>
      <c r="T1686" s="8"/>
      <c r="U1686" s="8"/>
      <c r="V1686" s="8"/>
      <c r="Y1686" s="8"/>
      <c r="Z1686" s="8"/>
    </row>
    <row r="1687" ht="15.75" customHeight="1">
      <c r="Q1687" s="8"/>
      <c r="R1687" s="8"/>
      <c r="S1687" s="8"/>
      <c r="T1687" s="8"/>
      <c r="U1687" s="8"/>
      <c r="V1687" s="8"/>
      <c r="Y1687" s="8"/>
      <c r="Z1687" s="8"/>
    </row>
    <row r="1688" ht="15.75" customHeight="1">
      <c r="Q1688" s="8"/>
      <c r="R1688" s="8"/>
      <c r="S1688" s="8"/>
      <c r="T1688" s="8"/>
      <c r="U1688" s="8"/>
      <c r="V1688" s="8"/>
      <c r="Y1688" s="8"/>
      <c r="Z1688" s="8"/>
    </row>
    <row r="1689" ht="15.75" customHeight="1">
      <c r="Q1689" s="8"/>
      <c r="R1689" s="8"/>
      <c r="S1689" s="8"/>
      <c r="T1689" s="8"/>
      <c r="U1689" s="8"/>
      <c r="V1689" s="8"/>
      <c r="Y1689" s="8"/>
      <c r="Z1689" s="8"/>
    </row>
    <row r="1690" ht="15.75" customHeight="1">
      <c r="Q1690" s="8"/>
      <c r="R1690" s="8"/>
      <c r="S1690" s="8"/>
      <c r="T1690" s="8"/>
      <c r="U1690" s="8"/>
      <c r="V1690" s="8"/>
      <c r="Y1690" s="8"/>
      <c r="Z1690" s="8"/>
    </row>
    <row r="1691" ht="15.75" customHeight="1">
      <c r="Q1691" s="8"/>
      <c r="R1691" s="8"/>
      <c r="S1691" s="8"/>
      <c r="T1691" s="8"/>
      <c r="U1691" s="8"/>
      <c r="V1691" s="8"/>
      <c r="Y1691" s="8"/>
      <c r="Z1691" s="8"/>
    </row>
    <row r="1692" ht="15.75" customHeight="1">
      <c r="Q1692" s="8"/>
      <c r="R1692" s="8"/>
      <c r="S1692" s="8"/>
      <c r="T1692" s="8"/>
      <c r="U1692" s="8"/>
      <c r="V1692" s="8"/>
      <c r="Y1692" s="8"/>
      <c r="Z1692" s="8"/>
    </row>
    <row r="1693" ht="15.75" customHeight="1">
      <c r="Q1693" s="8"/>
      <c r="R1693" s="8"/>
      <c r="S1693" s="8"/>
      <c r="T1693" s="8"/>
      <c r="U1693" s="8"/>
      <c r="V1693" s="8"/>
      <c r="Y1693" s="8"/>
      <c r="Z1693" s="8"/>
    </row>
    <row r="1694" ht="15.75" customHeight="1">
      <c r="Q1694" s="8"/>
      <c r="R1694" s="8"/>
      <c r="S1694" s="8"/>
      <c r="T1694" s="8"/>
      <c r="U1694" s="8"/>
      <c r="V1694" s="8"/>
      <c r="Y1694" s="8"/>
      <c r="Z1694" s="8"/>
    </row>
    <row r="1695" ht="15.75" customHeight="1">
      <c r="Q1695" s="8"/>
      <c r="R1695" s="8"/>
      <c r="S1695" s="8"/>
      <c r="T1695" s="8"/>
      <c r="U1695" s="8"/>
      <c r="V1695" s="8"/>
      <c r="Y1695" s="8"/>
      <c r="Z1695" s="8"/>
    </row>
    <row r="1696" ht="15.75" customHeight="1">
      <c r="Q1696" s="8"/>
      <c r="R1696" s="8"/>
      <c r="S1696" s="8"/>
      <c r="T1696" s="8"/>
      <c r="U1696" s="8"/>
      <c r="V1696" s="8"/>
      <c r="Y1696" s="8"/>
      <c r="Z1696" s="8"/>
    </row>
    <row r="1697" ht="15.75" customHeight="1">
      <c r="Q1697" s="8"/>
      <c r="R1697" s="8"/>
      <c r="S1697" s="8"/>
      <c r="T1697" s="8"/>
      <c r="U1697" s="8"/>
      <c r="V1697" s="8"/>
      <c r="Y1697" s="8"/>
      <c r="Z1697" s="8"/>
    </row>
    <row r="1698" ht="15.75" customHeight="1">
      <c r="Q1698" s="8"/>
      <c r="R1698" s="8"/>
      <c r="S1698" s="8"/>
      <c r="T1698" s="8"/>
      <c r="U1698" s="8"/>
      <c r="V1698" s="8"/>
      <c r="Y1698" s="8"/>
      <c r="Z1698" s="8"/>
    </row>
    <row r="1699" ht="15.75" customHeight="1">
      <c r="Q1699" s="8"/>
      <c r="R1699" s="8"/>
      <c r="S1699" s="8"/>
      <c r="T1699" s="8"/>
      <c r="U1699" s="8"/>
      <c r="V1699" s="8"/>
      <c r="Y1699" s="8"/>
      <c r="Z1699" s="8"/>
    </row>
    <row r="1700" ht="15.75" customHeight="1">
      <c r="Q1700" s="8"/>
      <c r="R1700" s="8"/>
      <c r="S1700" s="8"/>
      <c r="T1700" s="8"/>
      <c r="U1700" s="8"/>
      <c r="V1700" s="8"/>
      <c r="Y1700" s="8"/>
      <c r="Z1700" s="8"/>
    </row>
    <row r="1701" ht="15.75" customHeight="1">
      <c r="Q1701" s="8"/>
      <c r="R1701" s="8"/>
      <c r="S1701" s="8"/>
      <c r="T1701" s="8"/>
      <c r="U1701" s="8"/>
      <c r="V1701" s="8"/>
      <c r="Y1701" s="8"/>
      <c r="Z1701" s="8"/>
    </row>
    <row r="1702" ht="15.75" customHeight="1">
      <c r="Q1702" s="8"/>
      <c r="R1702" s="8"/>
      <c r="S1702" s="8"/>
      <c r="T1702" s="8"/>
      <c r="U1702" s="8"/>
      <c r="V1702" s="8"/>
      <c r="Y1702" s="8"/>
      <c r="Z1702" s="8"/>
    </row>
    <row r="1703" ht="15.75" customHeight="1">
      <c r="Q1703" s="8"/>
      <c r="R1703" s="8"/>
      <c r="S1703" s="8"/>
      <c r="T1703" s="8"/>
      <c r="U1703" s="8"/>
      <c r="V1703" s="8"/>
      <c r="Y1703" s="8"/>
      <c r="Z1703" s="8"/>
    </row>
    <row r="1704" ht="15.75" customHeight="1">
      <c r="Q1704" s="8"/>
      <c r="R1704" s="8"/>
      <c r="S1704" s="8"/>
      <c r="T1704" s="8"/>
      <c r="U1704" s="8"/>
      <c r="V1704" s="8"/>
      <c r="Y1704" s="8"/>
      <c r="Z1704" s="8"/>
    </row>
    <row r="1705" ht="15.75" customHeight="1">
      <c r="Q1705" s="8"/>
      <c r="R1705" s="8"/>
      <c r="S1705" s="8"/>
      <c r="T1705" s="8"/>
      <c r="U1705" s="8"/>
      <c r="V1705" s="8"/>
      <c r="Y1705" s="8"/>
      <c r="Z1705" s="8"/>
    </row>
    <row r="1706" ht="15.75" customHeight="1">
      <c r="Q1706" s="8"/>
      <c r="R1706" s="8"/>
      <c r="S1706" s="8"/>
      <c r="T1706" s="8"/>
      <c r="U1706" s="8"/>
      <c r="V1706" s="8"/>
      <c r="Y1706" s="8"/>
      <c r="Z1706" s="8"/>
    </row>
    <row r="1707" ht="15.75" customHeight="1">
      <c r="Q1707" s="8"/>
      <c r="R1707" s="8"/>
      <c r="S1707" s="8"/>
      <c r="T1707" s="8"/>
      <c r="U1707" s="8"/>
      <c r="V1707" s="8"/>
      <c r="Y1707" s="8"/>
      <c r="Z1707" s="8"/>
    </row>
    <row r="1708" ht="15.75" customHeight="1">
      <c r="Q1708" s="8"/>
      <c r="R1708" s="8"/>
      <c r="S1708" s="8"/>
      <c r="T1708" s="8"/>
      <c r="U1708" s="8"/>
      <c r="V1708" s="8"/>
      <c r="Y1708" s="8"/>
      <c r="Z1708" s="8"/>
    </row>
    <row r="1709" ht="15.75" customHeight="1">
      <c r="Q1709" s="8"/>
      <c r="R1709" s="8"/>
      <c r="S1709" s="8"/>
      <c r="T1709" s="8"/>
      <c r="U1709" s="8"/>
      <c r="V1709" s="8"/>
      <c r="Y1709" s="8"/>
      <c r="Z1709" s="8"/>
    </row>
    <row r="1710" ht="15.75" customHeight="1">
      <c r="Q1710" s="8"/>
      <c r="R1710" s="8"/>
      <c r="S1710" s="8"/>
      <c r="T1710" s="8"/>
      <c r="U1710" s="8"/>
      <c r="V1710" s="8"/>
      <c r="Y1710" s="8"/>
      <c r="Z1710" s="8"/>
    </row>
    <row r="1711" ht="15.75" customHeight="1">
      <c r="Q1711" s="8"/>
      <c r="R1711" s="8"/>
      <c r="S1711" s="8"/>
      <c r="T1711" s="8"/>
      <c r="U1711" s="8"/>
      <c r="V1711" s="8"/>
      <c r="Y1711" s="8"/>
      <c r="Z1711" s="8"/>
    </row>
    <row r="1712" ht="15.75" customHeight="1">
      <c r="Q1712" s="8"/>
      <c r="R1712" s="8"/>
      <c r="S1712" s="8"/>
      <c r="T1712" s="8"/>
      <c r="U1712" s="8"/>
      <c r="V1712" s="8"/>
      <c r="Y1712" s="8"/>
      <c r="Z1712" s="8"/>
    </row>
    <row r="1713" ht="15.75" customHeight="1">
      <c r="Q1713" s="8"/>
      <c r="R1713" s="8"/>
      <c r="S1713" s="8"/>
      <c r="T1713" s="8"/>
      <c r="U1713" s="8"/>
      <c r="V1713" s="8"/>
      <c r="Y1713" s="8"/>
      <c r="Z1713" s="8"/>
    </row>
    <row r="1714" ht="15.75" customHeight="1">
      <c r="Q1714" s="8"/>
      <c r="R1714" s="8"/>
      <c r="S1714" s="8"/>
      <c r="T1714" s="8"/>
      <c r="U1714" s="8"/>
      <c r="V1714" s="8"/>
      <c r="Y1714" s="8"/>
      <c r="Z1714" s="8"/>
    </row>
    <row r="1715" ht="15.75" customHeight="1">
      <c r="Q1715" s="8"/>
      <c r="R1715" s="8"/>
      <c r="S1715" s="8"/>
      <c r="T1715" s="8"/>
      <c r="U1715" s="8"/>
      <c r="V1715" s="8"/>
      <c r="Y1715" s="8"/>
      <c r="Z1715" s="8"/>
    </row>
    <row r="1716" ht="15.75" customHeight="1">
      <c r="Q1716" s="8"/>
      <c r="R1716" s="8"/>
      <c r="S1716" s="8"/>
      <c r="T1716" s="8"/>
      <c r="U1716" s="8"/>
      <c r="V1716" s="8"/>
      <c r="Y1716" s="8"/>
      <c r="Z1716" s="8"/>
    </row>
    <row r="1717" ht="15.75" customHeight="1">
      <c r="Q1717" s="8"/>
      <c r="R1717" s="8"/>
      <c r="S1717" s="8"/>
      <c r="T1717" s="8"/>
      <c r="U1717" s="8"/>
      <c r="V1717" s="8"/>
      <c r="Y1717" s="8"/>
      <c r="Z1717" s="8"/>
    </row>
    <row r="1718" ht="15.75" customHeight="1">
      <c r="Q1718" s="8"/>
      <c r="R1718" s="8"/>
      <c r="S1718" s="8"/>
      <c r="T1718" s="8"/>
      <c r="U1718" s="8"/>
      <c r="V1718" s="8"/>
      <c r="Y1718" s="8"/>
      <c r="Z1718" s="8"/>
    </row>
    <row r="1719" ht="15.75" customHeight="1">
      <c r="Q1719" s="8"/>
      <c r="R1719" s="8"/>
      <c r="S1719" s="8"/>
      <c r="T1719" s="8"/>
      <c r="U1719" s="8"/>
      <c r="V1719" s="8"/>
      <c r="Y1719" s="8"/>
      <c r="Z1719" s="8"/>
    </row>
    <row r="1720" ht="15.75" customHeight="1">
      <c r="Q1720" s="8"/>
      <c r="R1720" s="8"/>
      <c r="S1720" s="8"/>
      <c r="T1720" s="8"/>
      <c r="U1720" s="8"/>
      <c r="V1720" s="8"/>
      <c r="Y1720" s="8"/>
      <c r="Z1720" s="8"/>
    </row>
    <row r="1721" ht="15.75" customHeight="1">
      <c r="Q1721" s="8"/>
      <c r="R1721" s="8"/>
      <c r="S1721" s="8"/>
      <c r="T1721" s="8"/>
      <c r="U1721" s="8"/>
      <c r="V1721" s="8"/>
      <c r="Y1721" s="8"/>
      <c r="Z1721" s="8"/>
    </row>
    <row r="1722" ht="15.75" customHeight="1">
      <c r="Q1722" s="8"/>
      <c r="R1722" s="8"/>
      <c r="S1722" s="8"/>
      <c r="T1722" s="8"/>
      <c r="U1722" s="8"/>
      <c r="V1722" s="8"/>
      <c r="Y1722" s="8"/>
      <c r="Z1722" s="8"/>
    </row>
    <row r="1723" ht="15.75" customHeight="1">
      <c r="Q1723" s="8"/>
      <c r="R1723" s="8"/>
      <c r="S1723" s="8"/>
      <c r="T1723" s="8"/>
      <c r="U1723" s="8"/>
      <c r="V1723" s="8"/>
      <c r="Y1723" s="8"/>
      <c r="Z1723" s="8"/>
    </row>
    <row r="1724" ht="15.75" customHeight="1">
      <c r="Q1724" s="8"/>
      <c r="R1724" s="8"/>
      <c r="S1724" s="8"/>
      <c r="T1724" s="8"/>
      <c r="U1724" s="8"/>
      <c r="V1724" s="8"/>
      <c r="Y1724" s="8"/>
      <c r="Z1724" s="8"/>
    </row>
    <row r="1725" ht="15.75" customHeight="1">
      <c r="Q1725" s="8"/>
      <c r="R1725" s="8"/>
      <c r="S1725" s="8"/>
      <c r="T1725" s="8"/>
      <c r="U1725" s="8"/>
      <c r="V1725" s="8"/>
      <c r="Y1725" s="8"/>
      <c r="Z1725" s="8"/>
    </row>
    <row r="1726" ht="15.75" customHeight="1">
      <c r="Q1726" s="8"/>
      <c r="R1726" s="8"/>
      <c r="S1726" s="8"/>
      <c r="T1726" s="8"/>
      <c r="U1726" s="8"/>
      <c r="V1726" s="8"/>
      <c r="Y1726" s="8"/>
      <c r="Z1726" s="8"/>
    </row>
    <row r="1727" ht="15.75" customHeight="1">
      <c r="Q1727" s="8"/>
      <c r="R1727" s="8"/>
      <c r="S1727" s="8"/>
      <c r="T1727" s="8"/>
      <c r="U1727" s="8"/>
      <c r="V1727" s="8"/>
      <c r="Y1727" s="8"/>
      <c r="Z1727" s="8"/>
    </row>
    <row r="1728" ht="15.75" customHeight="1">
      <c r="Q1728" s="8"/>
      <c r="R1728" s="8"/>
      <c r="S1728" s="8"/>
      <c r="T1728" s="8"/>
      <c r="U1728" s="8"/>
      <c r="V1728" s="8"/>
      <c r="Y1728" s="8"/>
      <c r="Z1728" s="8"/>
    </row>
    <row r="1729" ht="15.75" customHeight="1">
      <c r="Q1729" s="8"/>
      <c r="R1729" s="8"/>
      <c r="S1729" s="8"/>
      <c r="T1729" s="8"/>
      <c r="U1729" s="8"/>
      <c r="V1729" s="8"/>
      <c r="Y1729" s="8"/>
      <c r="Z1729" s="8"/>
    </row>
    <row r="1730" ht="15.75" customHeight="1">
      <c r="Q1730" s="8"/>
      <c r="R1730" s="8"/>
      <c r="S1730" s="8"/>
      <c r="T1730" s="8"/>
      <c r="U1730" s="8"/>
      <c r="V1730" s="8"/>
      <c r="Y1730" s="8"/>
      <c r="Z1730" s="8"/>
    </row>
    <row r="1731" ht="15.75" customHeight="1">
      <c r="Q1731" s="8"/>
      <c r="R1731" s="8"/>
      <c r="S1731" s="8"/>
      <c r="T1731" s="8"/>
      <c r="U1731" s="8"/>
      <c r="V1731" s="8"/>
      <c r="Y1731" s="8"/>
      <c r="Z1731" s="8"/>
    </row>
    <row r="1732" ht="15.75" customHeight="1">
      <c r="Q1732" s="8"/>
      <c r="R1732" s="8"/>
      <c r="S1732" s="8"/>
      <c r="T1732" s="8"/>
      <c r="U1732" s="8"/>
      <c r="V1732" s="8"/>
      <c r="Y1732" s="8"/>
      <c r="Z1732" s="8"/>
    </row>
    <row r="1733" ht="15.75" customHeight="1">
      <c r="Q1733" s="8"/>
      <c r="R1733" s="8"/>
      <c r="S1733" s="8"/>
      <c r="T1733" s="8"/>
      <c r="U1733" s="8"/>
      <c r="V1733" s="8"/>
      <c r="Y1733" s="8"/>
      <c r="Z1733" s="8"/>
    </row>
    <row r="1734" ht="15.75" customHeight="1">
      <c r="Q1734" s="8"/>
      <c r="R1734" s="8"/>
      <c r="S1734" s="8"/>
      <c r="T1734" s="8"/>
      <c r="U1734" s="8"/>
      <c r="V1734" s="8"/>
      <c r="Y1734" s="8"/>
      <c r="Z1734" s="8"/>
    </row>
    <row r="1735" ht="15.75" customHeight="1">
      <c r="Q1735" s="8"/>
      <c r="R1735" s="8"/>
      <c r="S1735" s="8"/>
      <c r="T1735" s="8"/>
      <c r="U1735" s="8"/>
      <c r="V1735" s="8"/>
      <c r="Y1735" s="8"/>
      <c r="Z1735" s="8"/>
    </row>
    <row r="1736" ht="15.75" customHeight="1">
      <c r="Q1736" s="8"/>
      <c r="R1736" s="8"/>
      <c r="S1736" s="8"/>
      <c r="T1736" s="8"/>
      <c r="U1736" s="8"/>
      <c r="V1736" s="8"/>
      <c r="Y1736" s="8"/>
      <c r="Z1736" s="8"/>
    </row>
    <row r="1737" ht="15.75" customHeight="1">
      <c r="Q1737" s="8"/>
      <c r="R1737" s="8"/>
      <c r="S1737" s="8"/>
      <c r="T1737" s="8"/>
      <c r="U1737" s="8"/>
      <c r="V1737" s="8"/>
      <c r="Y1737" s="8"/>
      <c r="Z1737" s="8"/>
    </row>
    <row r="1738" ht="15.75" customHeight="1">
      <c r="Q1738" s="8"/>
      <c r="R1738" s="8"/>
      <c r="S1738" s="8"/>
      <c r="T1738" s="8"/>
      <c r="U1738" s="8"/>
      <c r="V1738" s="8"/>
      <c r="Y1738" s="8"/>
      <c r="Z1738" s="8"/>
    </row>
    <row r="1739" ht="15.75" customHeight="1">
      <c r="Q1739" s="8"/>
      <c r="R1739" s="8"/>
      <c r="S1739" s="8"/>
      <c r="T1739" s="8"/>
      <c r="U1739" s="8"/>
      <c r="V1739" s="8"/>
      <c r="Y1739" s="8"/>
      <c r="Z1739" s="8"/>
    </row>
    <row r="1740" ht="15.75" customHeight="1">
      <c r="Q1740" s="8"/>
      <c r="R1740" s="8"/>
      <c r="S1740" s="8"/>
      <c r="T1740" s="8"/>
      <c r="U1740" s="8"/>
      <c r="V1740" s="8"/>
      <c r="Y1740" s="8"/>
      <c r="Z1740" s="8"/>
    </row>
    <row r="1741" ht="15.75" customHeight="1">
      <c r="Q1741" s="8"/>
      <c r="R1741" s="8"/>
      <c r="S1741" s="8"/>
      <c r="T1741" s="8"/>
      <c r="U1741" s="8"/>
      <c r="V1741" s="8"/>
      <c r="Y1741" s="8"/>
      <c r="Z1741" s="8"/>
    </row>
    <row r="1742" ht="15.75" customHeight="1">
      <c r="Q1742" s="8"/>
      <c r="R1742" s="8"/>
      <c r="S1742" s="8"/>
      <c r="T1742" s="8"/>
      <c r="U1742" s="8"/>
      <c r="V1742" s="8"/>
      <c r="Y1742" s="8"/>
      <c r="Z1742" s="8"/>
    </row>
    <row r="1743" ht="15.75" customHeight="1">
      <c r="Q1743" s="8"/>
      <c r="R1743" s="8"/>
      <c r="S1743" s="8"/>
      <c r="T1743" s="8"/>
      <c r="U1743" s="8"/>
      <c r="V1743" s="8"/>
      <c r="Y1743" s="8"/>
      <c r="Z1743" s="8"/>
    </row>
    <row r="1744" ht="15.75" customHeight="1">
      <c r="Q1744" s="8"/>
      <c r="R1744" s="8"/>
      <c r="S1744" s="8"/>
      <c r="T1744" s="8"/>
      <c r="U1744" s="8"/>
      <c r="V1744" s="8"/>
      <c r="Y1744" s="8"/>
      <c r="Z1744" s="8"/>
    </row>
    <row r="1745" ht="15.75" customHeight="1">
      <c r="Q1745" s="8"/>
      <c r="R1745" s="8"/>
      <c r="S1745" s="8"/>
      <c r="T1745" s="8"/>
      <c r="U1745" s="8"/>
      <c r="V1745" s="8"/>
      <c r="Y1745" s="8"/>
      <c r="Z1745" s="8"/>
    </row>
    <row r="1746" ht="15.75" customHeight="1">
      <c r="Q1746" s="8"/>
      <c r="R1746" s="8"/>
      <c r="S1746" s="8"/>
      <c r="T1746" s="8"/>
      <c r="U1746" s="8"/>
      <c r="V1746" s="8"/>
      <c r="Y1746" s="8"/>
      <c r="Z1746" s="8"/>
    </row>
    <row r="1747" ht="15.75" customHeight="1">
      <c r="Q1747" s="8"/>
      <c r="R1747" s="8"/>
      <c r="S1747" s="8"/>
      <c r="T1747" s="8"/>
      <c r="U1747" s="8"/>
      <c r="V1747" s="8"/>
      <c r="Y1747" s="8"/>
      <c r="Z1747" s="8"/>
    </row>
    <row r="1748" ht="15.75" customHeight="1">
      <c r="Q1748" s="8"/>
      <c r="R1748" s="8"/>
      <c r="S1748" s="8"/>
      <c r="T1748" s="8"/>
      <c r="U1748" s="8"/>
      <c r="V1748" s="8"/>
      <c r="Y1748" s="8"/>
      <c r="Z1748" s="8"/>
    </row>
    <row r="1749" ht="15.75" customHeight="1">
      <c r="Q1749" s="8"/>
      <c r="R1749" s="8"/>
      <c r="S1749" s="8"/>
      <c r="T1749" s="8"/>
      <c r="U1749" s="8"/>
      <c r="V1749" s="8"/>
      <c r="Y1749" s="8"/>
      <c r="Z1749" s="8"/>
    </row>
    <row r="1750" ht="15.75" customHeight="1">
      <c r="Q1750" s="8"/>
      <c r="R1750" s="8"/>
      <c r="S1750" s="8"/>
      <c r="T1750" s="8"/>
      <c r="U1750" s="8"/>
      <c r="V1750" s="8"/>
      <c r="Y1750" s="8"/>
      <c r="Z1750" s="8"/>
    </row>
    <row r="1751" ht="15.75" customHeight="1">
      <c r="Q1751" s="8"/>
      <c r="R1751" s="8"/>
      <c r="S1751" s="8"/>
      <c r="T1751" s="8"/>
      <c r="U1751" s="8"/>
      <c r="V1751" s="8"/>
      <c r="Y1751" s="8"/>
      <c r="Z1751" s="8"/>
    </row>
    <row r="1752" ht="15.75" customHeight="1">
      <c r="Q1752" s="8"/>
      <c r="R1752" s="8"/>
      <c r="S1752" s="8"/>
      <c r="T1752" s="8"/>
      <c r="U1752" s="8"/>
      <c r="V1752" s="8"/>
      <c r="Y1752" s="8"/>
      <c r="Z1752" s="8"/>
    </row>
    <row r="1753" ht="15.75" customHeight="1">
      <c r="Q1753" s="8"/>
      <c r="R1753" s="8"/>
      <c r="S1753" s="8"/>
      <c r="T1753" s="8"/>
      <c r="U1753" s="8"/>
      <c r="V1753" s="8"/>
      <c r="Y1753" s="8"/>
      <c r="Z1753" s="8"/>
    </row>
    <row r="1754" ht="15.75" customHeight="1">
      <c r="Q1754" s="8"/>
      <c r="R1754" s="8"/>
      <c r="S1754" s="8"/>
      <c r="T1754" s="8"/>
      <c r="U1754" s="8"/>
      <c r="V1754" s="8"/>
      <c r="Y1754" s="8"/>
      <c r="Z1754" s="8"/>
    </row>
    <row r="1755" ht="15.75" customHeight="1">
      <c r="Q1755" s="8"/>
      <c r="R1755" s="8"/>
      <c r="S1755" s="8"/>
      <c r="T1755" s="8"/>
      <c r="U1755" s="8"/>
      <c r="V1755" s="8"/>
      <c r="Y1755" s="8"/>
      <c r="Z1755" s="8"/>
    </row>
    <row r="1756" ht="15.75" customHeight="1">
      <c r="Q1756" s="8"/>
      <c r="R1756" s="8"/>
      <c r="S1756" s="8"/>
      <c r="T1756" s="8"/>
      <c r="U1756" s="8"/>
      <c r="V1756" s="8"/>
      <c r="Y1756" s="8"/>
      <c r="Z1756" s="8"/>
    </row>
    <row r="1757" ht="15.75" customHeight="1">
      <c r="Q1757" s="8"/>
      <c r="R1757" s="8"/>
      <c r="S1757" s="8"/>
      <c r="T1757" s="8"/>
      <c r="U1757" s="8"/>
      <c r="V1757" s="8"/>
      <c r="Y1757" s="8"/>
      <c r="Z1757" s="8"/>
    </row>
    <row r="1758" ht="15.75" customHeight="1">
      <c r="Q1758" s="8"/>
      <c r="R1758" s="8"/>
      <c r="S1758" s="8"/>
      <c r="T1758" s="8"/>
      <c r="U1758" s="8"/>
      <c r="V1758" s="8"/>
      <c r="Y1758" s="8"/>
      <c r="Z1758" s="8"/>
    </row>
    <row r="1759" ht="15.75" customHeight="1">
      <c r="Q1759" s="8"/>
      <c r="R1759" s="8"/>
      <c r="S1759" s="8"/>
      <c r="T1759" s="8"/>
      <c r="U1759" s="8"/>
      <c r="V1759" s="8"/>
      <c r="Y1759" s="8"/>
      <c r="Z1759" s="8"/>
    </row>
    <row r="1760" ht="15.75" customHeight="1">
      <c r="Q1760" s="8"/>
      <c r="R1760" s="8"/>
      <c r="S1760" s="8"/>
      <c r="T1760" s="8"/>
      <c r="U1760" s="8"/>
      <c r="V1760" s="8"/>
      <c r="Y1760" s="8"/>
      <c r="Z1760" s="8"/>
    </row>
    <row r="1761" ht="15.75" customHeight="1">
      <c r="Q1761" s="8"/>
      <c r="R1761" s="8"/>
      <c r="S1761" s="8"/>
      <c r="T1761" s="8"/>
      <c r="U1761" s="8"/>
      <c r="V1761" s="8"/>
      <c r="Y1761" s="8"/>
      <c r="Z1761" s="8"/>
    </row>
    <row r="1762" ht="15.75" customHeight="1">
      <c r="Q1762" s="8"/>
      <c r="R1762" s="8"/>
      <c r="S1762" s="8"/>
      <c r="T1762" s="8"/>
      <c r="U1762" s="8"/>
      <c r="V1762" s="8"/>
      <c r="Y1762" s="8"/>
      <c r="Z1762" s="8"/>
    </row>
    <row r="1763" ht="15.75" customHeight="1">
      <c r="Q1763" s="8"/>
      <c r="R1763" s="8"/>
      <c r="S1763" s="8"/>
      <c r="T1763" s="8"/>
      <c r="U1763" s="8"/>
      <c r="V1763" s="8"/>
      <c r="Y1763" s="8"/>
      <c r="Z1763" s="8"/>
    </row>
    <row r="1764" ht="15.75" customHeight="1">
      <c r="Q1764" s="8"/>
      <c r="R1764" s="8"/>
      <c r="S1764" s="8"/>
      <c r="T1764" s="8"/>
      <c r="U1764" s="8"/>
      <c r="V1764" s="8"/>
      <c r="Y1764" s="8"/>
      <c r="Z1764" s="8"/>
    </row>
    <row r="1765" ht="15.75" customHeight="1">
      <c r="Q1765" s="8"/>
      <c r="R1765" s="8"/>
      <c r="S1765" s="8"/>
      <c r="T1765" s="8"/>
      <c r="U1765" s="8"/>
      <c r="V1765" s="8"/>
      <c r="Y1765" s="8"/>
      <c r="Z1765" s="8"/>
    </row>
    <row r="1766" ht="15.75" customHeight="1">
      <c r="Q1766" s="8"/>
      <c r="R1766" s="8"/>
      <c r="S1766" s="8"/>
      <c r="T1766" s="8"/>
      <c r="U1766" s="8"/>
      <c r="V1766" s="8"/>
      <c r="Y1766" s="8"/>
      <c r="Z1766" s="8"/>
    </row>
    <row r="1767" ht="15.75" customHeight="1">
      <c r="Q1767" s="8"/>
      <c r="R1767" s="8"/>
      <c r="S1767" s="8"/>
      <c r="T1767" s="8"/>
      <c r="U1767" s="8"/>
      <c r="V1767" s="8"/>
      <c r="Y1767" s="8"/>
      <c r="Z1767" s="8"/>
    </row>
    <row r="1768" ht="15.75" customHeight="1">
      <c r="Q1768" s="8"/>
      <c r="R1768" s="8"/>
      <c r="S1768" s="8"/>
      <c r="T1768" s="8"/>
      <c r="U1768" s="8"/>
      <c r="V1768" s="8"/>
      <c r="Y1768" s="8"/>
      <c r="Z1768" s="8"/>
    </row>
    <row r="1769" ht="15.75" customHeight="1">
      <c r="Q1769" s="8"/>
      <c r="R1769" s="8"/>
      <c r="S1769" s="8"/>
      <c r="T1769" s="8"/>
      <c r="U1769" s="8"/>
      <c r="V1769" s="8"/>
      <c r="Y1769" s="8"/>
      <c r="Z1769" s="8"/>
    </row>
    <row r="1770" ht="15.75" customHeight="1">
      <c r="Q1770" s="8"/>
      <c r="R1770" s="8"/>
      <c r="S1770" s="8"/>
      <c r="T1770" s="8"/>
      <c r="U1770" s="8"/>
      <c r="V1770" s="8"/>
      <c r="Y1770" s="8"/>
      <c r="Z1770" s="8"/>
    </row>
    <row r="1771" ht="15.75" customHeight="1">
      <c r="Q1771" s="8"/>
      <c r="R1771" s="8"/>
      <c r="S1771" s="8"/>
      <c r="T1771" s="8"/>
      <c r="U1771" s="8"/>
      <c r="V1771" s="8"/>
      <c r="Y1771" s="8"/>
      <c r="Z1771" s="8"/>
    </row>
    <row r="1772" ht="15.75" customHeight="1">
      <c r="Q1772" s="8"/>
      <c r="R1772" s="8"/>
      <c r="S1772" s="8"/>
      <c r="T1772" s="8"/>
      <c r="U1772" s="8"/>
      <c r="V1772" s="8"/>
      <c r="Y1772" s="8"/>
      <c r="Z1772" s="8"/>
    </row>
    <row r="1773" ht="15.75" customHeight="1">
      <c r="Q1773" s="8"/>
      <c r="R1773" s="8"/>
      <c r="S1773" s="8"/>
      <c r="T1773" s="8"/>
      <c r="U1773" s="8"/>
      <c r="V1773" s="8"/>
      <c r="Y1773" s="8"/>
      <c r="Z1773" s="8"/>
    </row>
    <row r="1774" ht="15.75" customHeight="1">
      <c r="Q1774" s="8"/>
      <c r="R1774" s="8"/>
      <c r="S1774" s="8"/>
      <c r="T1774" s="8"/>
      <c r="U1774" s="8"/>
      <c r="V1774" s="8"/>
      <c r="Y1774" s="8"/>
      <c r="Z1774" s="8"/>
    </row>
    <row r="1775" ht="15.75" customHeight="1">
      <c r="Q1775" s="8"/>
      <c r="R1775" s="8"/>
      <c r="S1775" s="8"/>
      <c r="T1775" s="8"/>
      <c r="U1775" s="8"/>
      <c r="V1775" s="8"/>
      <c r="Y1775" s="8"/>
      <c r="Z1775" s="8"/>
    </row>
    <row r="1776" ht="15.75" customHeight="1">
      <c r="Q1776" s="8"/>
      <c r="R1776" s="8"/>
      <c r="S1776" s="8"/>
      <c r="T1776" s="8"/>
      <c r="U1776" s="8"/>
      <c r="V1776" s="8"/>
      <c r="Y1776" s="8"/>
      <c r="Z1776" s="8"/>
    </row>
    <row r="1777" ht="15.75" customHeight="1">
      <c r="Q1777" s="8"/>
      <c r="R1777" s="8"/>
      <c r="S1777" s="8"/>
      <c r="T1777" s="8"/>
      <c r="U1777" s="8"/>
      <c r="V1777" s="8"/>
      <c r="Y1777" s="8"/>
      <c r="Z1777" s="8"/>
    </row>
    <row r="1778" ht="15.75" customHeight="1">
      <c r="Q1778" s="8"/>
      <c r="R1778" s="8"/>
      <c r="S1778" s="8"/>
      <c r="T1778" s="8"/>
      <c r="U1778" s="8"/>
      <c r="V1778" s="8"/>
      <c r="Y1778" s="8"/>
      <c r="Z1778" s="8"/>
    </row>
    <row r="1779" ht="15.75" customHeight="1">
      <c r="Q1779" s="8"/>
      <c r="R1779" s="8"/>
      <c r="S1779" s="8"/>
      <c r="T1779" s="8"/>
      <c r="U1779" s="8"/>
      <c r="V1779" s="8"/>
      <c r="Y1779" s="8"/>
      <c r="Z1779" s="8"/>
    </row>
    <row r="1780" ht="15.75" customHeight="1">
      <c r="Q1780" s="8"/>
      <c r="R1780" s="8"/>
      <c r="S1780" s="8"/>
      <c r="T1780" s="8"/>
      <c r="U1780" s="8"/>
      <c r="V1780" s="8"/>
      <c r="Y1780" s="8"/>
      <c r="Z1780" s="8"/>
    </row>
    <row r="1781" ht="15.75" customHeight="1">
      <c r="Q1781" s="8"/>
      <c r="R1781" s="8"/>
      <c r="S1781" s="8"/>
      <c r="T1781" s="8"/>
      <c r="U1781" s="8"/>
      <c r="V1781" s="8"/>
      <c r="Y1781" s="8"/>
      <c r="Z1781" s="8"/>
    </row>
    <row r="1782" ht="15.75" customHeight="1">
      <c r="Q1782" s="8"/>
      <c r="R1782" s="8"/>
      <c r="S1782" s="8"/>
      <c r="T1782" s="8"/>
      <c r="U1782" s="8"/>
      <c r="V1782" s="8"/>
      <c r="Y1782" s="8"/>
      <c r="Z1782" s="8"/>
    </row>
    <row r="1783" ht="15.75" customHeight="1">
      <c r="Q1783" s="8"/>
      <c r="R1783" s="8"/>
      <c r="S1783" s="8"/>
      <c r="T1783" s="8"/>
      <c r="U1783" s="8"/>
      <c r="V1783" s="8"/>
      <c r="Y1783" s="8"/>
      <c r="Z1783" s="8"/>
    </row>
    <row r="1784" ht="15.75" customHeight="1">
      <c r="Q1784" s="8"/>
      <c r="R1784" s="8"/>
      <c r="S1784" s="8"/>
      <c r="T1784" s="8"/>
      <c r="U1784" s="8"/>
      <c r="V1784" s="8"/>
      <c r="Y1784" s="8"/>
      <c r="Z1784" s="8"/>
    </row>
    <row r="1785" ht="15.75" customHeight="1">
      <c r="Q1785" s="8"/>
      <c r="R1785" s="8"/>
      <c r="S1785" s="8"/>
      <c r="T1785" s="8"/>
      <c r="U1785" s="8"/>
      <c r="V1785" s="8"/>
      <c r="Y1785" s="8"/>
      <c r="Z1785" s="8"/>
    </row>
    <row r="1786" ht="15.75" customHeight="1">
      <c r="Q1786" s="8"/>
      <c r="R1786" s="8"/>
      <c r="S1786" s="8"/>
      <c r="T1786" s="8"/>
      <c r="U1786" s="8"/>
      <c r="V1786" s="8"/>
      <c r="Y1786" s="8"/>
      <c r="Z1786" s="8"/>
    </row>
    <row r="1787" ht="15.75" customHeight="1">
      <c r="Q1787" s="8"/>
      <c r="R1787" s="8"/>
      <c r="S1787" s="8"/>
      <c r="T1787" s="8"/>
      <c r="U1787" s="8"/>
      <c r="V1787" s="8"/>
      <c r="Y1787" s="8"/>
      <c r="Z1787" s="8"/>
    </row>
    <row r="1788" ht="15.75" customHeight="1">
      <c r="Q1788" s="8"/>
      <c r="R1788" s="8"/>
      <c r="S1788" s="8"/>
      <c r="T1788" s="8"/>
      <c r="U1788" s="8"/>
      <c r="V1788" s="8"/>
      <c r="Y1788" s="8"/>
      <c r="Z1788" s="8"/>
    </row>
    <row r="1789" ht="15.75" customHeight="1">
      <c r="Q1789" s="8"/>
      <c r="R1789" s="8"/>
      <c r="S1789" s="8"/>
      <c r="T1789" s="8"/>
      <c r="U1789" s="8"/>
      <c r="V1789" s="8"/>
      <c r="Y1789" s="8"/>
      <c r="Z1789" s="8"/>
    </row>
    <row r="1790" ht="15.75" customHeight="1">
      <c r="Q1790" s="8"/>
      <c r="R1790" s="8"/>
      <c r="S1790" s="8"/>
      <c r="T1790" s="8"/>
      <c r="U1790" s="8"/>
      <c r="V1790" s="8"/>
      <c r="Y1790" s="8"/>
      <c r="Z1790" s="8"/>
    </row>
    <row r="1791" ht="15.75" customHeight="1">
      <c r="Q1791" s="8"/>
      <c r="R1791" s="8"/>
      <c r="S1791" s="8"/>
      <c r="T1791" s="8"/>
      <c r="U1791" s="8"/>
      <c r="V1791" s="8"/>
      <c r="Y1791" s="8"/>
      <c r="Z1791" s="8"/>
    </row>
    <row r="1792" ht="15.75" customHeight="1">
      <c r="Q1792" s="8"/>
      <c r="R1792" s="8"/>
      <c r="S1792" s="8"/>
      <c r="T1792" s="8"/>
      <c r="U1792" s="8"/>
      <c r="V1792" s="8"/>
      <c r="Y1792" s="8"/>
      <c r="Z1792" s="8"/>
    </row>
    <row r="1793" ht="15.75" customHeight="1">
      <c r="Q1793" s="8"/>
      <c r="R1793" s="8"/>
      <c r="S1793" s="8"/>
      <c r="T1793" s="8"/>
      <c r="U1793" s="8"/>
      <c r="V1793" s="8"/>
      <c r="Y1793" s="8"/>
      <c r="Z1793" s="8"/>
    </row>
    <row r="1794" ht="15.75" customHeight="1">
      <c r="Q1794" s="8"/>
      <c r="R1794" s="8"/>
      <c r="S1794" s="8"/>
      <c r="T1794" s="8"/>
      <c r="U1794" s="8"/>
      <c r="V1794" s="8"/>
      <c r="Y1794" s="8"/>
      <c r="Z1794" s="8"/>
    </row>
    <row r="1795" ht="15.75" customHeight="1">
      <c r="Q1795" s="8"/>
      <c r="R1795" s="8"/>
      <c r="S1795" s="8"/>
      <c r="T1795" s="8"/>
      <c r="U1795" s="8"/>
      <c r="V1795" s="8"/>
      <c r="Y1795" s="8"/>
      <c r="Z1795" s="8"/>
    </row>
    <row r="1796" ht="15.75" customHeight="1">
      <c r="Q1796" s="8"/>
      <c r="R1796" s="8"/>
      <c r="S1796" s="8"/>
      <c r="T1796" s="8"/>
      <c r="U1796" s="8"/>
      <c r="V1796" s="8"/>
      <c r="Y1796" s="8"/>
      <c r="Z1796" s="8"/>
    </row>
    <row r="1797" ht="15.75" customHeight="1">
      <c r="Q1797" s="8"/>
      <c r="R1797" s="8"/>
      <c r="S1797" s="8"/>
      <c r="T1797" s="8"/>
      <c r="U1797" s="8"/>
      <c r="V1797" s="8"/>
      <c r="Y1797" s="8"/>
      <c r="Z1797" s="8"/>
    </row>
    <row r="1798" ht="15.75" customHeight="1">
      <c r="Q1798" s="8"/>
      <c r="R1798" s="8"/>
      <c r="S1798" s="8"/>
      <c r="T1798" s="8"/>
      <c r="U1798" s="8"/>
      <c r="V1798" s="8"/>
      <c r="Y1798" s="8"/>
      <c r="Z1798" s="8"/>
    </row>
    <row r="1799" ht="15.75" customHeight="1">
      <c r="Q1799" s="8"/>
      <c r="R1799" s="8"/>
      <c r="S1799" s="8"/>
      <c r="T1799" s="8"/>
      <c r="U1799" s="8"/>
      <c r="V1799" s="8"/>
      <c r="Y1799" s="8"/>
      <c r="Z1799" s="8"/>
    </row>
    <row r="1800" ht="15.75" customHeight="1">
      <c r="Q1800" s="8"/>
      <c r="R1800" s="8"/>
      <c r="S1800" s="8"/>
      <c r="T1800" s="8"/>
      <c r="U1800" s="8"/>
      <c r="V1800" s="8"/>
      <c r="Y1800" s="8"/>
      <c r="Z1800" s="8"/>
    </row>
    <row r="1801" ht="15.75" customHeight="1">
      <c r="Q1801" s="8"/>
      <c r="R1801" s="8"/>
      <c r="S1801" s="8"/>
      <c r="T1801" s="8"/>
      <c r="U1801" s="8"/>
      <c r="V1801" s="8"/>
      <c r="Y1801" s="8"/>
      <c r="Z1801" s="8"/>
    </row>
    <row r="1802" ht="15.75" customHeight="1">
      <c r="Q1802" s="8"/>
      <c r="R1802" s="8"/>
      <c r="S1802" s="8"/>
      <c r="T1802" s="8"/>
      <c r="U1802" s="8"/>
      <c r="V1802" s="8"/>
      <c r="Y1802" s="8"/>
      <c r="Z1802" s="8"/>
    </row>
    <row r="1803" ht="15.75" customHeight="1">
      <c r="Q1803" s="8"/>
      <c r="R1803" s="8"/>
      <c r="S1803" s="8"/>
      <c r="T1803" s="8"/>
      <c r="U1803" s="8"/>
      <c r="V1803" s="8"/>
      <c r="Y1803" s="8"/>
      <c r="Z1803" s="8"/>
    </row>
    <row r="1804" ht="15.75" customHeight="1">
      <c r="Q1804" s="8"/>
      <c r="R1804" s="8"/>
      <c r="S1804" s="8"/>
      <c r="T1804" s="8"/>
      <c r="U1804" s="8"/>
      <c r="V1804" s="8"/>
      <c r="Y1804" s="8"/>
      <c r="Z1804" s="8"/>
    </row>
    <row r="1805" ht="15.75" customHeight="1">
      <c r="Q1805" s="8"/>
      <c r="R1805" s="8"/>
      <c r="S1805" s="8"/>
      <c r="T1805" s="8"/>
      <c r="U1805" s="8"/>
      <c r="V1805" s="8"/>
      <c r="Y1805" s="8"/>
      <c r="Z1805" s="8"/>
    </row>
    <row r="1806" ht="15.75" customHeight="1">
      <c r="Q1806" s="8"/>
      <c r="R1806" s="8"/>
      <c r="S1806" s="8"/>
      <c r="T1806" s="8"/>
      <c r="U1806" s="8"/>
      <c r="V1806" s="8"/>
      <c r="Y1806" s="8"/>
      <c r="Z1806" s="8"/>
    </row>
    <row r="1807" ht="15.75" customHeight="1">
      <c r="Q1807" s="8"/>
      <c r="R1807" s="8"/>
      <c r="S1807" s="8"/>
      <c r="T1807" s="8"/>
      <c r="U1807" s="8"/>
      <c r="V1807" s="8"/>
      <c r="Y1807" s="8"/>
      <c r="Z1807" s="8"/>
    </row>
    <row r="1808" ht="15.75" customHeight="1">
      <c r="Q1808" s="8"/>
      <c r="R1808" s="8"/>
      <c r="S1808" s="8"/>
      <c r="T1808" s="8"/>
      <c r="U1808" s="8"/>
      <c r="V1808" s="8"/>
      <c r="Y1808" s="8"/>
      <c r="Z1808" s="8"/>
    </row>
    <row r="1809" ht="15.75" customHeight="1">
      <c r="Q1809" s="8"/>
      <c r="R1809" s="8"/>
      <c r="S1809" s="8"/>
      <c r="T1809" s="8"/>
      <c r="U1809" s="8"/>
      <c r="V1809" s="8"/>
      <c r="Y1809" s="8"/>
      <c r="Z1809" s="8"/>
    </row>
    <row r="1810" ht="15.75" customHeight="1">
      <c r="Q1810" s="8"/>
      <c r="R1810" s="8"/>
      <c r="S1810" s="8"/>
      <c r="T1810" s="8"/>
      <c r="U1810" s="8"/>
      <c r="V1810" s="8"/>
      <c r="Y1810" s="8"/>
      <c r="Z1810" s="8"/>
    </row>
    <row r="1811" ht="15.75" customHeight="1">
      <c r="Q1811" s="8"/>
      <c r="R1811" s="8"/>
      <c r="S1811" s="8"/>
      <c r="T1811" s="8"/>
      <c r="U1811" s="8"/>
      <c r="V1811" s="8"/>
      <c r="Y1811" s="8"/>
      <c r="Z1811" s="8"/>
    </row>
    <row r="1812" ht="15.75" customHeight="1">
      <c r="Q1812" s="8"/>
      <c r="R1812" s="8"/>
      <c r="S1812" s="8"/>
      <c r="T1812" s="8"/>
      <c r="U1812" s="8"/>
      <c r="V1812" s="8"/>
      <c r="Y1812" s="8"/>
      <c r="Z1812" s="8"/>
    </row>
    <row r="1813" ht="15.75" customHeight="1">
      <c r="Q1813" s="8"/>
      <c r="R1813" s="8"/>
      <c r="S1813" s="8"/>
      <c r="T1813" s="8"/>
      <c r="U1813" s="8"/>
      <c r="V1813" s="8"/>
      <c r="Y1813" s="8"/>
      <c r="Z1813" s="8"/>
    </row>
    <row r="1814" ht="15.75" customHeight="1">
      <c r="Q1814" s="8"/>
      <c r="R1814" s="8"/>
      <c r="S1814" s="8"/>
      <c r="T1814" s="8"/>
      <c r="U1814" s="8"/>
      <c r="V1814" s="8"/>
      <c r="Y1814" s="8"/>
      <c r="Z1814" s="8"/>
    </row>
    <row r="1815" ht="15.75" customHeight="1">
      <c r="Q1815" s="8"/>
      <c r="R1815" s="8"/>
      <c r="S1815" s="8"/>
      <c r="T1815" s="8"/>
      <c r="U1815" s="8"/>
      <c r="V1815" s="8"/>
      <c r="Y1815" s="8"/>
      <c r="Z1815" s="8"/>
    </row>
    <row r="1816" ht="15.75" customHeight="1">
      <c r="Q1816" s="8"/>
      <c r="R1816" s="8"/>
      <c r="S1816" s="8"/>
      <c r="T1816" s="8"/>
      <c r="U1816" s="8"/>
      <c r="V1816" s="8"/>
      <c r="Y1816" s="8"/>
      <c r="Z1816" s="8"/>
    </row>
    <row r="1817" ht="15.75" customHeight="1">
      <c r="Q1817" s="8"/>
      <c r="R1817" s="8"/>
      <c r="S1817" s="8"/>
      <c r="T1817" s="8"/>
      <c r="U1817" s="8"/>
      <c r="V1817" s="8"/>
      <c r="Y1817" s="8"/>
      <c r="Z1817" s="8"/>
    </row>
    <row r="1818" ht="15.75" customHeight="1">
      <c r="Q1818" s="8"/>
      <c r="R1818" s="8"/>
      <c r="S1818" s="8"/>
      <c r="T1818" s="8"/>
      <c r="U1818" s="8"/>
      <c r="V1818" s="8"/>
      <c r="Y1818" s="8"/>
      <c r="Z1818" s="8"/>
    </row>
    <row r="1819" ht="15.75" customHeight="1">
      <c r="Q1819" s="8"/>
      <c r="R1819" s="8"/>
      <c r="S1819" s="8"/>
      <c r="T1819" s="8"/>
      <c r="U1819" s="8"/>
      <c r="V1819" s="8"/>
      <c r="Y1819" s="8"/>
      <c r="Z1819" s="8"/>
    </row>
    <row r="1820" ht="15.75" customHeight="1">
      <c r="Q1820" s="8"/>
      <c r="R1820" s="8"/>
      <c r="S1820" s="8"/>
      <c r="T1820" s="8"/>
      <c r="U1820" s="8"/>
      <c r="V1820" s="8"/>
      <c r="Y1820" s="8"/>
      <c r="Z1820" s="8"/>
    </row>
    <row r="1821" ht="15.75" customHeight="1">
      <c r="Q1821" s="8"/>
      <c r="R1821" s="8"/>
      <c r="S1821" s="8"/>
      <c r="T1821" s="8"/>
      <c r="U1821" s="8"/>
      <c r="V1821" s="8"/>
      <c r="Y1821" s="8"/>
      <c r="Z1821" s="8"/>
    </row>
    <row r="1822" ht="15.75" customHeight="1">
      <c r="Q1822" s="8"/>
      <c r="R1822" s="8"/>
      <c r="S1822" s="8"/>
      <c r="T1822" s="8"/>
      <c r="U1822" s="8"/>
      <c r="V1822" s="8"/>
      <c r="Y1822" s="8"/>
      <c r="Z1822" s="8"/>
    </row>
    <row r="1823" ht="15.75" customHeight="1">
      <c r="Q1823" s="8"/>
      <c r="R1823" s="8"/>
      <c r="S1823" s="8"/>
      <c r="T1823" s="8"/>
      <c r="U1823" s="8"/>
      <c r="V1823" s="8"/>
      <c r="Y1823" s="8"/>
      <c r="Z1823" s="8"/>
    </row>
    <row r="1824" ht="15.75" customHeight="1">
      <c r="Q1824" s="8"/>
      <c r="R1824" s="8"/>
      <c r="S1824" s="8"/>
      <c r="T1824" s="8"/>
      <c r="U1824" s="8"/>
      <c r="V1824" s="8"/>
      <c r="Y1824" s="8"/>
      <c r="Z1824" s="8"/>
    </row>
    <row r="1825" ht="15.75" customHeight="1">
      <c r="Q1825" s="8"/>
      <c r="R1825" s="8"/>
      <c r="S1825" s="8"/>
      <c r="T1825" s="8"/>
      <c r="U1825" s="8"/>
      <c r="V1825" s="8"/>
      <c r="Y1825" s="8"/>
      <c r="Z1825" s="8"/>
    </row>
    <row r="1826" ht="15.75" customHeight="1">
      <c r="Q1826" s="8"/>
      <c r="R1826" s="8"/>
      <c r="S1826" s="8"/>
      <c r="T1826" s="8"/>
      <c r="U1826" s="8"/>
      <c r="V1826" s="8"/>
      <c r="Y1826" s="8"/>
      <c r="Z1826" s="8"/>
    </row>
    <row r="1827" ht="15.75" customHeight="1">
      <c r="Q1827" s="8"/>
      <c r="R1827" s="8"/>
      <c r="S1827" s="8"/>
      <c r="T1827" s="8"/>
      <c r="U1827" s="8"/>
      <c r="V1827" s="8"/>
      <c r="Y1827" s="8"/>
      <c r="Z1827" s="8"/>
    </row>
    <row r="1828" ht="15.75" customHeight="1">
      <c r="Q1828" s="8"/>
      <c r="R1828" s="8"/>
      <c r="S1828" s="8"/>
      <c r="T1828" s="8"/>
      <c r="U1828" s="8"/>
      <c r="V1828" s="8"/>
      <c r="Y1828" s="8"/>
      <c r="Z1828" s="8"/>
    </row>
    <row r="1829" ht="15.75" customHeight="1">
      <c r="Q1829" s="8"/>
      <c r="R1829" s="8"/>
      <c r="S1829" s="8"/>
      <c r="T1829" s="8"/>
      <c r="U1829" s="8"/>
      <c r="V1829" s="8"/>
      <c r="Y1829" s="8"/>
      <c r="Z1829" s="8"/>
    </row>
    <row r="1830" ht="15.75" customHeight="1">
      <c r="Q1830" s="8"/>
      <c r="R1830" s="8"/>
      <c r="S1830" s="8"/>
      <c r="T1830" s="8"/>
      <c r="U1830" s="8"/>
      <c r="V1830" s="8"/>
      <c r="Y1830" s="8"/>
      <c r="Z1830" s="8"/>
    </row>
    <row r="1831" ht="15.75" customHeight="1">
      <c r="Q1831" s="8"/>
      <c r="R1831" s="8"/>
      <c r="S1831" s="8"/>
      <c r="T1831" s="8"/>
      <c r="U1831" s="8"/>
      <c r="V1831" s="8"/>
      <c r="Y1831" s="8"/>
      <c r="Z1831" s="8"/>
    </row>
    <row r="1832" ht="15.75" customHeight="1">
      <c r="Q1832" s="8"/>
      <c r="R1832" s="8"/>
      <c r="S1832" s="8"/>
      <c r="T1832" s="8"/>
      <c r="U1832" s="8"/>
      <c r="V1832" s="8"/>
      <c r="Y1832" s="8"/>
      <c r="Z1832" s="8"/>
    </row>
    <row r="1833" ht="15.75" customHeight="1">
      <c r="Q1833" s="8"/>
      <c r="R1833" s="8"/>
      <c r="S1833" s="8"/>
      <c r="T1833" s="8"/>
      <c r="U1833" s="8"/>
      <c r="V1833" s="8"/>
      <c r="Y1833" s="8"/>
      <c r="Z1833" s="8"/>
    </row>
    <row r="1834" ht="15.75" customHeight="1">
      <c r="Q1834" s="8"/>
      <c r="R1834" s="8"/>
      <c r="S1834" s="8"/>
      <c r="T1834" s="8"/>
      <c r="U1834" s="8"/>
      <c r="V1834" s="8"/>
      <c r="Y1834" s="8"/>
      <c r="Z1834" s="8"/>
    </row>
    <row r="1835" ht="15.75" customHeight="1">
      <c r="Q1835" s="8"/>
      <c r="R1835" s="8"/>
      <c r="S1835" s="8"/>
      <c r="T1835" s="8"/>
      <c r="U1835" s="8"/>
      <c r="V1835" s="8"/>
      <c r="Y1835" s="8"/>
      <c r="Z1835" s="8"/>
    </row>
    <row r="1836" ht="15.75" customHeight="1">
      <c r="Q1836" s="8"/>
      <c r="R1836" s="8"/>
      <c r="S1836" s="8"/>
      <c r="T1836" s="8"/>
      <c r="U1836" s="8"/>
      <c r="V1836" s="8"/>
      <c r="Y1836" s="8"/>
      <c r="Z1836" s="8"/>
    </row>
    <row r="1837" ht="15.75" customHeight="1">
      <c r="Q1837" s="8"/>
      <c r="R1837" s="8"/>
      <c r="S1837" s="8"/>
      <c r="T1837" s="8"/>
      <c r="U1837" s="8"/>
      <c r="V1837" s="8"/>
      <c r="Y1837" s="8"/>
      <c r="Z1837" s="8"/>
    </row>
    <row r="1838" ht="15.75" customHeight="1">
      <c r="Q1838" s="8"/>
      <c r="R1838" s="8"/>
      <c r="S1838" s="8"/>
      <c r="T1838" s="8"/>
      <c r="U1838" s="8"/>
      <c r="V1838" s="8"/>
      <c r="Y1838" s="8"/>
      <c r="Z1838" s="8"/>
    </row>
    <row r="1839" ht="15.75" customHeight="1">
      <c r="Q1839" s="8"/>
      <c r="R1839" s="8"/>
      <c r="S1839" s="8"/>
      <c r="T1839" s="8"/>
      <c r="U1839" s="8"/>
      <c r="V1839" s="8"/>
      <c r="Y1839" s="8"/>
      <c r="Z1839" s="8"/>
    </row>
    <row r="1840" ht="15.75" customHeight="1">
      <c r="Q1840" s="8"/>
      <c r="R1840" s="8"/>
      <c r="S1840" s="8"/>
      <c r="T1840" s="8"/>
      <c r="U1840" s="8"/>
      <c r="V1840" s="8"/>
      <c r="Y1840" s="8"/>
      <c r="Z1840" s="8"/>
    </row>
    <row r="1841" ht="15.75" customHeight="1">
      <c r="Q1841" s="8"/>
      <c r="R1841" s="8"/>
      <c r="S1841" s="8"/>
      <c r="T1841" s="8"/>
      <c r="U1841" s="8"/>
      <c r="V1841" s="8"/>
      <c r="Y1841" s="8"/>
      <c r="Z1841" s="8"/>
    </row>
    <row r="1842" ht="15.75" customHeight="1">
      <c r="Q1842" s="8"/>
      <c r="R1842" s="8"/>
      <c r="S1842" s="8"/>
      <c r="T1842" s="8"/>
      <c r="U1842" s="8"/>
      <c r="V1842" s="8"/>
      <c r="Y1842" s="8"/>
      <c r="Z1842" s="8"/>
    </row>
    <row r="1843" ht="15.75" customHeight="1">
      <c r="Q1843" s="8"/>
      <c r="R1843" s="8"/>
      <c r="S1843" s="8"/>
      <c r="T1843" s="8"/>
      <c r="U1843" s="8"/>
      <c r="V1843" s="8"/>
      <c r="Y1843" s="8"/>
      <c r="Z1843" s="8"/>
    </row>
    <row r="1844" ht="15.75" customHeight="1">
      <c r="Q1844" s="8"/>
      <c r="R1844" s="8"/>
      <c r="S1844" s="8"/>
      <c r="T1844" s="8"/>
      <c r="U1844" s="8"/>
      <c r="V1844" s="8"/>
      <c r="Y1844" s="8"/>
      <c r="Z1844" s="8"/>
    </row>
    <row r="1845" ht="15.75" customHeight="1">
      <c r="Q1845" s="8"/>
      <c r="R1845" s="8"/>
      <c r="S1845" s="8"/>
      <c r="T1845" s="8"/>
      <c r="U1845" s="8"/>
      <c r="V1845" s="8"/>
      <c r="Y1845" s="8"/>
      <c r="Z1845" s="8"/>
    </row>
    <row r="1846" ht="15.75" customHeight="1">
      <c r="Q1846" s="8"/>
      <c r="R1846" s="8"/>
      <c r="S1846" s="8"/>
      <c r="T1846" s="8"/>
      <c r="U1846" s="8"/>
      <c r="V1846" s="8"/>
      <c r="Y1846" s="8"/>
      <c r="Z1846" s="8"/>
    </row>
    <row r="1847" ht="15.75" customHeight="1">
      <c r="Q1847" s="8"/>
      <c r="R1847" s="8"/>
      <c r="S1847" s="8"/>
      <c r="T1847" s="8"/>
      <c r="U1847" s="8"/>
      <c r="V1847" s="8"/>
      <c r="Y1847" s="8"/>
      <c r="Z1847" s="8"/>
    </row>
    <row r="1848" ht="15.75" customHeight="1">
      <c r="Q1848" s="8"/>
      <c r="R1848" s="8"/>
      <c r="S1848" s="8"/>
      <c r="T1848" s="8"/>
      <c r="U1848" s="8"/>
      <c r="V1848" s="8"/>
      <c r="Y1848" s="8"/>
      <c r="Z1848" s="8"/>
    </row>
    <row r="1849" ht="15.75" customHeight="1">
      <c r="Q1849" s="8"/>
      <c r="R1849" s="8"/>
      <c r="S1849" s="8"/>
      <c r="T1849" s="8"/>
      <c r="U1849" s="8"/>
      <c r="V1849" s="8"/>
      <c r="Y1849" s="8"/>
      <c r="Z1849" s="8"/>
    </row>
    <row r="1850" ht="15.75" customHeight="1">
      <c r="Q1850" s="8"/>
      <c r="R1850" s="8"/>
      <c r="S1850" s="8"/>
      <c r="T1850" s="8"/>
      <c r="U1850" s="8"/>
      <c r="V1850" s="8"/>
      <c r="Y1850" s="8"/>
      <c r="Z1850" s="8"/>
    </row>
    <row r="1851" ht="15.75" customHeight="1">
      <c r="Q1851" s="8"/>
      <c r="R1851" s="8"/>
      <c r="S1851" s="8"/>
      <c r="T1851" s="8"/>
      <c r="U1851" s="8"/>
      <c r="V1851" s="8"/>
      <c r="Y1851" s="8"/>
      <c r="Z1851" s="8"/>
    </row>
    <row r="1852" ht="15.75" customHeight="1">
      <c r="Q1852" s="8"/>
      <c r="R1852" s="8"/>
      <c r="S1852" s="8"/>
      <c r="T1852" s="8"/>
      <c r="U1852" s="8"/>
      <c r="V1852" s="8"/>
      <c r="Y1852" s="8"/>
      <c r="Z1852" s="8"/>
    </row>
    <row r="1853" ht="15.75" customHeight="1">
      <c r="Q1853" s="8"/>
      <c r="R1853" s="8"/>
      <c r="S1853" s="8"/>
      <c r="T1853" s="8"/>
      <c r="U1853" s="8"/>
      <c r="V1853" s="8"/>
      <c r="Y1853" s="8"/>
      <c r="Z1853" s="8"/>
    </row>
    <row r="1854" ht="15.75" customHeight="1">
      <c r="Q1854" s="8"/>
      <c r="R1854" s="8"/>
      <c r="S1854" s="8"/>
      <c r="T1854" s="8"/>
      <c r="U1854" s="8"/>
      <c r="V1854" s="8"/>
      <c r="Y1854" s="8"/>
      <c r="Z1854" s="8"/>
    </row>
    <row r="1855" ht="15.75" customHeight="1">
      <c r="Q1855" s="8"/>
      <c r="R1855" s="8"/>
      <c r="S1855" s="8"/>
      <c r="T1855" s="8"/>
      <c r="U1855" s="8"/>
      <c r="V1855" s="8"/>
      <c r="Y1855" s="8"/>
      <c r="Z1855" s="8"/>
    </row>
    <row r="1856" ht="15.75" customHeight="1">
      <c r="Q1856" s="8"/>
      <c r="R1856" s="8"/>
      <c r="S1856" s="8"/>
      <c r="T1856" s="8"/>
      <c r="U1856" s="8"/>
      <c r="V1856" s="8"/>
      <c r="Y1856" s="8"/>
      <c r="Z1856" s="8"/>
    </row>
    <row r="1857" ht="15.75" customHeight="1">
      <c r="Q1857" s="8"/>
      <c r="R1857" s="8"/>
      <c r="S1857" s="8"/>
      <c r="T1857" s="8"/>
      <c r="U1857" s="8"/>
      <c r="V1857" s="8"/>
      <c r="Y1857" s="8"/>
      <c r="Z1857" s="8"/>
    </row>
    <row r="1858" ht="15.75" customHeight="1">
      <c r="Q1858" s="8"/>
      <c r="R1858" s="8"/>
      <c r="S1858" s="8"/>
      <c r="T1858" s="8"/>
      <c r="U1858" s="8"/>
      <c r="V1858" s="8"/>
      <c r="Y1858" s="8"/>
      <c r="Z1858" s="8"/>
    </row>
    <row r="1859" ht="15.75" customHeight="1">
      <c r="Q1859" s="8"/>
      <c r="R1859" s="8"/>
      <c r="S1859" s="8"/>
      <c r="T1859" s="8"/>
      <c r="U1859" s="8"/>
      <c r="V1859" s="8"/>
      <c r="Y1859" s="8"/>
      <c r="Z1859" s="8"/>
    </row>
    <row r="1860" ht="15.75" customHeight="1">
      <c r="Q1860" s="8"/>
      <c r="R1860" s="8"/>
      <c r="S1860" s="8"/>
      <c r="T1860" s="8"/>
      <c r="U1860" s="8"/>
      <c r="V1860" s="8"/>
      <c r="Y1860" s="8"/>
      <c r="Z1860" s="8"/>
    </row>
    <row r="1861" ht="15.75" customHeight="1">
      <c r="Q1861" s="8"/>
      <c r="R1861" s="8"/>
      <c r="S1861" s="8"/>
      <c r="T1861" s="8"/>
      <c r="U1861" s="8"/>
      <c r="V1861" s="8"/>
      <c r="Y1861" s="8"/>
      <c r="Z1861" s="8"/>
    </row>
    <row r="1862" ht="15.75" customHeight="1">
      <c r="Q1862" s="8"/>
      <c r="R1862" s="8"/>
      <c r="S1862" s="8"/>
      <c r="T1862" s="8"/>
      <c r="U1862" s="8"/>
      <c r="V1862" s="8"/>
      <c r="Y1862" s="8"/>
      <c r="Z1862" s="8"/>
    </row>
    <row r="1863" ht="15.75" customHeight="1">
      <c r="Q1863" s="8"/>
      <c r="R1863" s="8"/>
      <c r="S1863" s="8"/>
      <c r="T1863" s="8"/>
      <c r="U1863" s="8"/>
      <c r="V1863" s="8"/>
      <c r="Y1863" s="8"/>
      <c r="Z1863" s="8"/>
    </row>
    <row r="1864" ht="15.75" customHeight="1">
      <c r="Q1864" s="8"/>
      <c r="R1864" s="8"/>
      <c r="S1864" s="8"/>
      <c r="T1864" s="8"/>
      <c r="U1864" s="8"/>
      <c r="V1864" s="8"/>
      <c r="Y1864" s="8"/>
      <c r="Z1864" s="8"/>
    </row>
    <row r="1865" ht="15.75" customHeight="1">
      <c r="Q1865" s="8"/>
      <c r="R1865" s="8"/>
      <c r="S1865" s="8"/>
      <c r="T1865" s="8"/>
      <c r="U1865" s="8"/>
      <c r="V1865" s="8"/>
      <c r="Y1865" s="8"/>
      <c r="Z1865" s="8"/>
    </row>
    <row r="1866" ht="15.75" customHeight="1">
      <c r="Q1866" s="8"/>
      <c r="R1866" s="8"/>
      <c r="S1866" s="8"/>
      <c r="T1866" s="8"/>
      <c r="U1866" s="8"/>
      <c r="V1866" s="8"/>
      <c r="Y1866" s="8"/>
      <c r="Z1866" s="8"/>
    </row>
    <row r="1867" ht="15.75" customHeight="1">
      <c r="Q1867" s="8"/>
      <c r="R1867" s="8"/>
      <c r="S1867" s="8"/>
      <c r="T1867" s="8"/>
      <c r="U1867" s="8"/>
      <c r="V1867" s="8"/>
      <c r="Y1867" s="8"/>
      <c r="Z1867" s="8"/>
    </row>
    <row r="1868" ht="15.75" customHeight="1">
      <c r="Q1868" s="8"/>
      <c r="R1868" s="8"/>
      <c r="S1868" s="8"/>
      <c r="T1868" s="8"/>
      <c r="U1868" s="8"/>
      <c r="V1868" s="8"/>
      <c r="Y1868" s="8"/>
      <c r="Z1868" s="8"/>
    </row>
    <row r="1869" ht="15.75" customHeight="1">
      <c r="Q1869" s="8"/>
      <c r="R1869" s="8"/>
      <c r="S1869" s="8"/>
      <c r="T1869" s="8"/>
      <c r="U1869" s="8"/>
      <c r="V1869" s="8"/>
      <c r="Y1869" s="8"/>
      <c r="Z1869" s="8"/>
    </row>
    <row r="1870" ht="15.75" customHeight="1">
      <c r="Q1870" s="8"/>
      <c r="R1870" s="8"/>
      <c r="S1870" s="8"/>
      <c r="T1870" s="8"/>
      <c r="U1870" s="8"/>
      <c r="V1870" s="8"/>
      <c r="Y1870" s="8"/>
      <c r="Z1870" s="8"/>
    </row>
    <row r="1871" ht="15.75" customHeight="1">
      <c r="Q1871" s="8"/>
      <c r="R1871" s="8"/>
      <c r="S1871" s="8"/>
      <c r="T1871" s="8"/>
      <c r="U1871" s="8"/>
      <c r="V1871" s="8"/>
      <c r="Y1871" s="8"/>
      <c r="Z1871" s="8"/>
    </row>
    <row r="1872" ht="15.75" customHeight="1">
      <c r="Q1872" s="8"/>
      <c r="R1872" s="8"/>
      <c r="S1872" s="8"/>
      <c r="T1872" s="8"/>
      <c r="U1872" s="8"/>
      <c r="V1872" s="8"/>
      <c r="Y1872" s="8"/>
      <c r="Z1872" s="8"/>
    </row>
    <row r="1873" ht="15.75" customHeight="1">
      <c r="Q1873" s="8"/>
      <c r="R1873" s="8"/>
      <c r="S1873" s="8"/>
      <c r="T1873" s="8"/>
      <c r="U1873" s="8"/>
      <c r="V1873" s="8"/>
      <c r="Y1873" s="8"/>
      <c r="Z1873" s="8"/>
    </row>
    <row r="1874" ht="15.75" customHeight="1">
      <c r="Q1874" s="8"/>
      <c r="R1874" s="8"/>
      <c r="S1874" s="8"/>
      <c r="T1874" s="8"/>
      <c r="U1874" s="8"/>
      <c r="V1874" s="8"/>
      <c r="Y1874" s="8"/>
      <c r="Z1874" s="8"/>
    </row>
    <row r="1875" ht="15.75" customHeight="1">
      <c r="Q1875" s="8"/>
      <c r="R1875" s="8"/>
      <c r="S1875" s="8"/>
      <c r="T1875" s="8"/>
      <c r="U1875" s="8"/>
      <c r="V1875" s="8"/>
      <c r="Y1875" s="8"/>
      <c r="Z1875" s="8"/>
    </row>
    <row r="1876" ht="15.75" customHeight="1">
      <c r="Q1876" s="8"/>
      <c r="R1876" s="8"/>
      <c r="S1876" s="8"/>
      <c r="T1876" s="8"/>
      <c r="U1876" s="8"/>
      <c r="V1876" s="8"/>
      <c r="Y1876" s="8"/>
      <c r="Z1876" s="8"/>
    </row>
    <row r="1877" ht="15.75" customHeight="1">
      <c r="Q1877" s="8"/>
      <c r="R1877" s="8"/>
      <c r="S1877" s="8"/>
      <c r="T1877" s="8"/>
      <c r="U1877" s="8"/>
      <c r="V1877" s="8"/>
      <c r="Y1877" s="8"/>
      <c r="Z1877" s="8"/>
    </row>
    <row r="1878" ht="15.75" customHeight="1">
      <c r="Q1878" s="8"/>
      <c r="R1878" s="8"/>
      <c r="S1878" s="8"/>
      <c r="T1878" s="8"/>
      <c r="U1878" s="8"/>
      <c r="V1878" s="8"/>
      <c r="Y1878" s="8"/>
      <c r="Z1878" s="8"/>
    </row>
    <row r="1879" ht="15.75" customHeight="1">
      <c r="Q1879" s="8"/>
      <c r="R1879" s="8"/>
      <c r="S1879" s="8"/>
      <c r="T1879" s="8"/>
      <c r="U1879" s="8"/>
      <c r="V1879" s="8"/>
      <c r="Y1879" s="8"/>
      <c r="Z1879" s="8"/>
    </row>
    <row r="1880" ht="15.75" customHeight="1">
      <c r="Q1880" s="8"/>
      <c r="R1880" s="8"/>
      <c r="S1880" s="8"/>
      <c r="T1880" s="8"/>
      <c r="U1880" s="8"/>
      <c r="V1880" s="8"/>
      <c r="Y1880" s="8"/>
      <c r="Z1880" s="8"/>
    </row>
    <row r="1881" ht="15.75" customHeight="1">
      <c r="Q1881" s="8"/>
      <c r="R1881" s="8"/>
      <c r="S1881" s="8"/>
      <c r="T1881" s="8"/>
      <c r="U1881" s="8"/>
      <c r="V1881" s="8"/>
      <c r="Y1881" s="8"/>
      <c r="Z1881" s="8"/>
    </row>
    <row r="1882" ht="15.75" customHeight="1">
      <c r="Q1882" s="8"/>
      <c r="R1882" s="8"/>
      <c r="S1882" s="8"/>
      <c r="T1882" s="8"/>
      <c r="U1882" s="8"/>
      <c r="V1882" s="8"/>
      <c r="Y1882" s="8"/>
      <c r="Z1882" s="8"/>
    </row>
    <row r="1883" ht="15.75" customHeight="1">
      <c r="Q1883" s="8"/>
      <c r="R1883" s="8"/>
      <c r="S1883" s="8"/>
      <c r="T1883" s="8"/>
      <c r="U1883" s="8"/>
      <c r="V1883" s="8"/>
      <c r="Y1883" s="8"/>
      <c r="Z1883" s="8"/>
    </row>
    <row r="1884" ht="15.75" customHeight="1">
      <c r="Q1884" s="8"/>
      <c r="R1884" s="8"/>
      <c r="S1884" s="8"/>
      <c r="T1884" s="8"/>
      <c r="U1884" s="8"/>
      <c r="V1884" s="8"/>
      <c r="Y1884" s="8"/>
      <c r="Z1884" s="8"/>
    </row>
    <row r="1885" ht="15.75" customHeight="1">
      <c r="Q1885" s="8"/>
      <c r="R1885" s="8"/>
      <c r="S1885" s="8"/>
      <c r="T1885" s="8"/>
      <c r="U1885" s="8"/>
      <c r="V1885" s="8"/>
      <c r="Y1885" s="8"/>
      <c r="Z1885" s="8"/>
    </row>
    <row r="1886" ht="15.75" customHeight="1">
      <c r="Q1886" s="8"/>
      <c r="R1886" s="8"/>
      <c r="S1886" s="8"/>
      <c r="T1886" s="8"/>
      <c r="U1886" s="8"/>
      <c r="V1886" s="8"/>
      <c r="Y1886" s="8"/>
      <c r="Z1886" s="8"/>
    </row>
    <row r="1887" ht="15.75" customHeight="1">
      <c r="Q1887" s="8"/>
      <c r="R1887" s="8"/>
      <c r="S1887" s="8"/>
      <c r="T1887" s="8"/>
      <c r="U1887" s="8"/>
      <c r="V1887" s="8"/>
      <c r="Y1887" s="8"/>
      <c r="Z1887" s="8"/>
    </row>
    <row r="1888" ht="15.75" customHeight="1">
      <c r="Q1888" s="8"/>
      <c r="R1888" s="8"/>
      <c r="S1888" s="8"/>
      <c r="T1888" s="8"/>
      <c r="U1888" s="8"/>
      <c r="V1888" s="8"/>
      <c r="Y1888" s="8"/>
      <c r="Z1888" s="8"/>
    </row>
    <row r="1889" ht="15.75" customHeight="1">
      <c r="Q1889" s="8"/>
      <c r="R1889" s="8"/>
      <c r="S1889" s="8"/>
      <c r="T1889" s="8"/>
      <c r="U1889" s="8"/>
      <c r="V1889" s="8"/>
      <c r="Y1889" s="8"/>
      <c r="Z1889" s="8"/>
    </row>
    <row r="1890" ht="15.75" customHeight="1">
      <c r="Q1890" s="8"/>
      <c r="R1890" s="8"/>
      <c r="S1890" s="8"/>
      <c r="T1890" s="8"/>
      <c r="U1890" s="8"/>
      <c r="V1890" s="8"/>
      <c r="Y1890" s="8"/>
      <c r="Z1890" s="8"/>
    </row>
    <row r="1891" ht="15.75" customHeight="1">
      <c r="Q1891" s="8"/>
      <c r="R1891" s="8"/>
      <c r="S1891" s="8"/>
      <c r="T1891" s="8"/>
      <c r="U1891" s="8"/>
      <c r="V1891" s="8"/>
      <c r="Y1891" s="8"/>
      <c r="Z1891" s="8"/>
    </row>
    <row r="1892" ht="15.75" customHeight="1">
      <c r="Q1892" s="8"/>
      <c r="R1892" s="8"/>
      <c r="S1892" s="8"/>
      <c r="T1892" s="8"/>
      <c r="U1892" s="8"/>
      <c r="V1892" s="8"/>
      <c r="Y1892" s="8"/>
      <c r="Z1892" s="8"/>
    </row>
    <row r="1893" ht="15.75" customHeight="1">
      <c r="Q1893" s="8"/>
      <c r="R1893" s="8"/>
      <c r="S1893" s="8"/>
      <c r="T1893" s="8"/>
      <c r="U1893" s="8"/>
      <c r="V1893" s="8"/>
      <c r="Y1893" s="8"/>
      <c r="Z1893" s="8"/>
    </row>
    <row r="1894" ht="15.75" customHeight="1">
      <c r="Q1894" s="8"/>
      <c r="R1894" s="8"/>
      <c r="S1894" s="8"/>
      <c r="T1894" s="8"/>
      <c r="U1894" s="8"/>
      <c r="V1894" s="8"/>
      <c r="Y1894" s="8"/>
      <c r="Z1894" s="8"/>
    </row>
    <row r="1895" ht="15.75" customHeight="1">
      <c r="Q1895" s="8"/>
      <c r="R1895" s="8"/>
      <c r="S1895" s="8"/>
      <c r="T1895" s="8"/>
      <c r="U1895" s="8"/>
      <c r="V1895" s="8"/>
      <c r="Y1895" s="8"/>
      <c r="Z1895" s="8"/>
    </row>
    <row r="1896" ht="15.75" customHeight="1">
      <c r="Q1896" s="8"/>
      <c r="R1896" s="8"/>
      <c r="S1896" s="8"/>
      <c r="T1896" s="8"/>
      <c r="U1896" s="8"/>
      <c r="V1896" s="8"/>
      <c r="Y1896" s="8"/>
      <c r="Z1896" s="8"/>
    </row>
    <row r="1897" ht="15.75" customHeight="1">
      <c r="Q1897" s="8"/>
      <c r="R1897" s="8"/>
      <c r="S1897" s="8"/>
      <c r="T1897" s="8"/>
      <c r="U1897" s="8"/>
      <c r="V1897" s="8"/>
      <c r="Y1897" s="8"/>
      <c r="Z1897" s="8"/>
    </row>
    <row r="1898" ht="15.75" customHeight="1">
      <c r="Q1898" s="8"/>
      <c r="R1898" s="8"/>
      <c r="S1898" s="8"/>
      <c r="T1898" s="8"/>
      <c r="U1898" s="8"/>
      <c r="V1898" s="8"/>
      <c r="Y1898" s="8"/>
      <c r="Z1898" s="8"/>
    </row>
    <row r="1899" ht="15.75" customHeight="1">
      <c r="Q1899" s="8"/>
      <c r="R1899" s="8"/>
      <c r="S1899" s="8"/>
      <c r="T1899" s="8"/>
      <c r="U1899" s="8"/>
      <c r="V1899" s="8"/>
      <c r="Y1899" s="8"/>
      <c r="Z1899" s="8"/>
    </row>
    <row r="1900" ht="15.75" customHeight="1">
      <c r="Q1900" s="8"/>
      <c r="R1900" s="8"/>
      <c r="S1900" s="8"/>
      <c r="T1900" s="8"/>
      <c r="U1900" s="8"/>
      <c r="V1900" s="8"/>
      <c r="Y1900" s="8"/>
      <c r="Z1900" s="8"/>
    </row>
    <row r="1901" ht="15.75" customHeight="1">
      <c r="Q1901" s="8"/>
      <c r="R1901" s="8"/>
      <c r="S1901" s="8"/>
      <c r="T1901" s="8"/>
      <c r="U1901" s="8"/>
      <c r="V1901" s="8"/>
      <c r="Y1901" s="8"/>
      <c r="Z1901" s="8"/>
    </row>
    <row r="1902" ht="15.75" customHeight="1">
      <c r="Q1902" s="8"/>
      <c r="R1902" s="8"/>
      <c r="S1902" s="8"/>
      <c r="T1902" s="8"/>
      <c r="U1902" s="8"/>
      <c r="V1902" s="8"/>
      <c r="Y1902" s="8"/>
      <c r="Z1902" s="8"/>
    </row>
    <row r="1903" ht="15.75" customHeight="1">
      <c r="Q1903" s="8"/>
      <c r="R1903" s="8"/>
      <c r="S1903" s="8"/>
      <c r="T1903" s="8"/>
      <c r="U1903" s="8"/>
      <c r="V1903" s="8"/>
      <c r="Y1903" s="8"/>
      <c r="Z1903" s="8"/>
    </row>
    <row r="1904" ht="15.75" customHeight="1">
      <c r="Q1904" s="8"/>
      <c r="R1904" s="8"/>
      <c r="S1904" s="8"/>
      <c r="T1904" s="8"/>
      <c r="U1904" s="8"/>
      <c r="V1904" s="8"/>
      <c r="Y1904" s="8"/>
      <c r="Z1904" s="8"/>
    </row>
    <row r="1905" ht="15.75" customHeight="1">
      <c r="Q1905" s="8"/>
      <c r="R1905" s="8"/>
      <c r="S1905" s="8"/>
      <c r="T1905" s="8"/>
      <c r="U1905" s="8"/>
      <c r="V1905" s="8"/>
      <c r="Y1905" s="8"/>
      <c r="Z1905" s="8"/>
    </row>
    <row r="1906" ht="15.75" customHeight="1">
      <c r="Q1906" s="8"/>
      <c r="R1906" s="8"/>
      <c r="S1906" s="8"/>
      <c r="T1906" s="8"/>
      <c r="U1906" s="8"/>
      <c r="V1906" s="8"/>
      <c r="Y1906" s="8"/>
      <c r="Z1906" s="8"/>
    </row>
    <row r="1907" ht="15.75" customHeight="1">
      <c r="Q1907" s="8"/>
      <c r="R1907" s="8"/>
      <c r="S1907" s="8"/>
      <c r="T1907" s="8"/>
      <c r="U1907" s="8"/>
      <c r="V1907" s="8"/>
      <c r="Y1907" s="8"/>
      <c r="Z1907" s="8"/>
    </row>
    <row r="1908" ht="15.75" customHeight="1">
      <c r="Q1908" s="8"/>
      <c r="R1908" s="8"/>
      <c r="S1908" s="8"/>
      <c r="T1908" s="8"/>
      <c r="U1908" s="8"/>
      <c r="V1908" s="8"/>
      <c r="Y1908" s="8"/>
      <c r="Z1908" s="8"/>
    </row>
    <row r="1909" ht="15.75" customHeight="1">
      <c r="Q1909" s="8"/>
      <c r="R1909" s="8"/>
      <c r="S1909" s="8"/>
      <c r="T1909" s="8"/>
      <c r="U1909" s="8"/>
      <c r="V1909" s="8"/>
      <c r="Y1909" s="8"/>
      <c r="Z1909" s="8"/>
    </row>
    <row r="1910" ht="15.75" customHeight="1">
      <c r="Q1910" s="8"/>
      <c r="R1910" s="8"/>
      <c r="S1910" s="8"/>
      <c r="T1910" s="8"/>
      <c r="U1910" s="8"/>
      <c r="V1910" s="8"/>
      <c r="Y1910" s="8"/>
      <c r="Z1910" s="8"/>
    </row>
    <row r="1911" ht="15.75" customHeight="1">
      <c r="Q1911" s="8"/>
      <c r="R1911" s="8"/>
      <c r="S1911" s="8"/>
      <c r="T1911" s="8"/>
      <c r="U1911" s="8"/>
      <c r="V1911" s="8"/>
      <c r="Y1911" s="8"/>
      <c r="Z1911" s="8"/>
    </row>
    <row r="1912" ht="15.75" customHeight="1">
      <c r="Q1912" s="8"/>
      <c r="R1912" s="8"/>
      <c r="S1912" s="8"/>
      <c r="T1912" s="8"/>
      <c r="U1912" s="8"/>
      <c r="V1912" s="8"/>
      <c r="Y1912" s="8"/>
      <c r="Z1912" s="8"/>
    </row>
    <row r="1913" ht="15.75" customHeight="1">
      <c r="Q1913" s="8"/>
      <c r="R1913" s="8"/>
      <c r="S1913" s="8"/>
      <c r="T1913" s="8"/>
      <c r="U1913" s="8"/>
      <c r="V1913" s="8"/>
      <c r="Y1913" s="8"/>
      <c r="Z1913" s="8"/>
    </row>
    <row r="1914" ht="15.75" customHeight="1">
      <c r="Q1914" s="8"/>
      <c r="R1914" s="8"/>
      <c r="S1914" s="8"/>
      <c r="T1914" s="8"/>
      <c r="U1914" s="8"/>
      <c r="V1914" s="8"/>
      <c r="Y1914" s="8"/>
      <c r="Z1914" s="8"/>
    </row>
    <row r="1915" ht="15.75" customHeight="1">
      <c r="Q1915" s="8"/>
      <c r="R1915" s="8"/>
      <c r="S1915" s="8"/>
      <c r="T1915" s="8"/>
      <c r="U1915" s="8"/>
      <c r="V1915" s="8"/>
      <c r="Y1915" s="8"/>
      <c r="Z1915" s="8"/>
    </row>
    <row r="1916" ht="15.75" customHeight="1">
      <c r="Q1916" s="8"/>
      <c r="R1916" s="8"/>
      <c r="S1916" s="8"/>
      <c r="T1916" s="8"/>
      <c r="U1916" s="8"/>
      <c r="V1916" s="8"/>
      <c r="Y1916" s="8"/>
      <c r="Z1916" s="8"/>
    </row>
    <row r="1917" ht="15.75" customHeight="1">
      <c r="Q1917" s="8"/>
      <c r="R1917" s="8"/>
      <c r="S1917" s="8"/>
      <c r="T1917" s="8"/>
      <c r="U1917" s="8"/>
      <c r="V1917" s="8"/>
      <c r="Y1917" s="8"/>
      <c r="Z1917" s="8"/>
    </row>
    <row r="1918" ht="15.75" customHeight="1">
      <c r="Q1918" s="8"/>
      <c r="R1918" s="8"/>
      <c r="S1918" s="8"/>
      <c r="T1918" s="8"/>
      <c r="U1918" s="8"/>
      <c r="V1918" s="8"/>
      <c r="Y1918" s="8"/>
      <c r="Z1918" s="8"/>
    </row>
    <row r="1919" ht="15.75" customHeight="1">
      <c r="Q1919" s="8"/>
      <c r="R1919" s="8"/>
      <c r="S1919" s="8"/>
      <c r="T1919" s="8"/>
      <c r="U1919" s="8"/>
      <c r="V1919" s="8"/>
      <c r="Y1919" s="8"/>
      <c r="Z1919" s="8"/>
    </row>
    <row r="1920" ht="15.75" customHeight="1">
      <c r="Q1920" s="8"/>
      <c r="R1920" s="8"/>
      <c r="S1920" s="8"/>
      <c r="T1920" s="8"/>
      <c r="U1920" s="8"/>
      <c r="V1920" s="8"/>
      <c r="Y1920" s="8"/>
      <c r="Z1920" s="8"/>
    </row>
    <row r="1921" ht="15.75" customHeight="1">
      <c r="Q1921" s="8"/>
      <c r="R1921" s="8"/>
      <c r="S1921" s="8"/>
      <c r="T1921" s="8"/>
      <c r="U1921" s="8"/>
      <c r="V1921" s="8"/>
      <c r="Y1921" s="8"/>
      <c r="Z1921" s="8"/>
    </row>
    <row r="1922" ht="15.75" customHeight="1">
      <c r="Q1922" s="8"/>
      <c r="R1922" s="8"/>
      <c r="S1922" s="8"/>
      <c r="T1922" s="8"/>
      <c r="U1922" s="8"/>
      <c r="V1922" s="8"/>
      <c r="Y1922" s="8"/>
      <c r="Z1922" s="8"/>
    </row>
    <row r="1923" ht="15.75" customHeight="1">
      <c r="Q1923" s="8"/>
      <c r="R1923" s="8"/>
      <c r="S1923" s="8"/>
      <c r="T1923" s="8"/>
      <c r="U1923" s="8"/>
      <c r="V1923" s="8"/>
      <c r="Y1923" s="8"/>
      <c r="Z1923" s="8"/>
    </row>
    <row r="1924" ht="15.75" customHeight="1">
      <c r="Q1924" s="8"/>
      <c r="R1924" s="8"/>
      <c r="S1924" s="8"/>
      <c r="T1924" s="8"/>
      <c r="U1924" s="8"/>
      <c r="V1924" s="8"/>
      <c r="Y1924" s="8"/>
      <c r="Z1924" s="8"/>
    </row>
    <row r="1925" ht="15.75" customHeight="1">
      <c r="Q1925" s="8"/>
      <c r="R1925" s="8"/>
      <c r="S1925" s="8"/>
      <c r="T1925" s="8"/>
      <c r="U1925" s="8"/>
      <c r="V1925" s="8"/>
      <c r="Y1925" s="8"/>
      <c r="Z1925" s="8"/>
    </row>
    <row r="1926" ht="15.75" customHeight="1">
      <c r="Q1926" s="8"/>
      <c r="R1926" s="8"/>
      <c r="S1926" s="8"/>
      <c r="T1926" s="8"/>
      <c r="U1926" s="8"/>
      <c r="V1926" s="8"/>
      <c r="Y1926" s="8"/>
      <c r="Z1926" s="8"/>
    </row>
    <row r="1927" ht="15.75" customHeight="1">
      <c r="Q1927" s="8"/>
      <c r="R1927" s="8"/>
      <c r="S1927" s="8"/>
      <c r="T1927" s="8"/>
      <c r="U1927" s="8"/>
      <c r="V1927" s="8"/>
      <c r="Y1927" s="8"/>
      <c r="Z1927" s="8"/>
    </row>
    <row r="1928" ht="15.75" customHeight="1">
      <c r="Q1928" s="8"/>
      <c r="R1928" s="8"/>
      <c r="S1928" s="8"/>
      <c r="T1928" s="8"/>
      <c r="U1928" s="8"/>
      <c r="V1928" s="8"/>
      <c r="Y1928" s="8"/>
      <c r="Z1928" s="8"/>
    </row>
    <row r="1929" ht="15.75" customHeight="1">
      <c r="Q1929" s="8"/>
      <c r="R1929" s="8"/>
      <c r="S1929" s="8"/>
      <c r="T1929" s="8"/>
      <c r="U1929" s="8"/>
      <c r="V1929" s="8"/>
      <c r="Y1929" s="8"/>
      <c r="Z1929" s="8"/>
    </row>
    <row r="1930" ht="15.75" customHeight="1">
      <c r="Q1930" s="8"/>
      <c r="R1930" s="8"/>
      <c r="S1930" s="8"/>
      <c r="T1930" s="8"/>
      <c r="U1930" s="8"/>
      <c r="V1930" s="8"/>
      <c r="Y1930" s="8"/>
      <c r="Z1930" s="8"/>
    </row>
    <row r="1931" ht="15.75" customHeight="1">
      <c r="Q1931" s="8"/>
      <c r="R1931" s="8"/>
      <c r="S1931" s="8"/>
      <c r="T1931" s="8"/>
      <c r="U1931" s="8"/>
      <c r="V1931" s="8"/>
      <c r="Y1931" s="8"/>
      <c r="Z1931" s="8"/>
    </row>
    <row r="1932" ht="15.75" customHeight="1">
      <c r="Q1932" s="8"/>
      <c r="R1932" s="8"/>
      <c r="S1932" s="8"/>
      <c r="T1932" s="8"/>
      <c r="U1932" s="8"/>
      <c r="V1932" s="8"/>
      <c r="Y1932" s="8"/>
      <c r="Z1932" s="8"/>
    </row>
    <row r="1933" ht="15.75" customHeight="1">
      <c r="Q1933" s="8"/>
      <c r="R1933" s="8"/>
      <c r="S1933" s="8"/>
      <c r="T1933" s="8"/>
      <c r="U1933" s="8"/>
      <c r="V1933" s="8"/>
      <c r="Y1933" s="8"/>
      <c r="Z1933" s="8"/>
    </row>
    <row r="1934" ht="15.75" customHeight="1">
      <c r="Q1934" s="8"/>
      <c r="R1934" s="8"/>
      <c r="S1934" s="8"/>
      <c r="T1934" s="8"/>
      <c r="U1934" s="8"/>
      <c r="V1934" s="8"/>
      <c r="Y1934" s="8"/>
      <c r="Z1934" s="8"/>
    </row>
    <row r="1935" ht="15.75" customHeight="1">
      <c r="Q1935" s="8"/>
      <c r="R1935" s="8"/>
      <c r="S1935" s="8"/>
      <c r="T1935" s="8"/>
      <c r="U1935" s="8"/>
      <c r="V1935" s="8"/>
      <c r="Y1935" s="8"/>
      <c r="Z1935" s="8"/>
    </row>
    <row r="1936" ht="15.75" customHeight="1">
      <c r="Q1936" s="8"/>
      <c r="R1936" s="8"/>
      <c r="S1936" s="8"/>
      <c r="T1936" s="8"/>
      <c r="U1936" s="8"/>
      <c r="V1936" s="8"/>
      <c r="Y1936" s="8"/>
      <c r="Z1936" s="8"/>
    </row>
    <row r="1937" ht="15.75" customHeight="1">
      <c r="Q1937" s="8"/>
      <c r="R1937" s="8"/>
      <c r="S1937" s="8"/>
      <c r="T1937" s="8"/>
      <c r="U1937" s="8"/>
      <c r="V1937" s="8"/>
      <c r="Y1937" s="8"/>
      <c r="Z1937" s="8"/>
    </row>
    <row r="1938" ht="15.75" customHeight="1">
      <c r="Q1938" s="8"/>
      <c r="R1938" s="8"/>
      <c r="S1938" s="8"/>
      <c r="T1938" s="8"/>
      <c r="U1938" s="8"/>
      <c r="V1938" s="8"/>
      <c r="Y1938" s="8"/>
      <c r="Z1938" s="8"/>
    </row>
    <row r="1939" ht="15.75" customHeight="1">
      <c r="Q1939" s="8"/>
      <c r="R1939" s="8"/>
      <c r="S1939" s="8"/>
      <c r="T1939" s="8"/>
      <c r="U1939" s="8"/>
      <c r="V1939" s="8"/>
      <c r="Y1939" s="8"/>
      <c r="Z1939" s="8"/>
    </row>
    <row r="1940" ht="15.75" customHeight="1">
      <c r="Q1940" s="8"/>
      <c r="R1940" s="8"/>
      <c r="S1940" s="8"/>
      <c r="T1940" s="8"/>
      <c r="U1940" s="8"/>
      <c r="V1940" s="8"/>
      <c r="Y1940" s="8"/>
      <c r="Z1940" s="8"/>
    </row>
    <row r="1941" ht="15.75" customHeight="1">
      <c r="Q1941" s="8"/>
      <c r="R1941" s="8"/>
      <c r="S1941" s="8"/>
      <c r="T1941" s="8"/>
      <c r="U1941" s="8"/>
      <c r="V1941" s="8"/>
      <c r="Y1941" s="8"/>
      <c r="Z1941" s="8"/>
    </row>
    <row r="1942" ht="15.75" customHeight="1">
      <c r="Q1942" s="8"/>
      <c r="R1942" s="8"/>
      <c r="S1942" s="8"/>
      <c r="T1942" s="8"/>
      <c r="U1942" s="8"/>
      <c r="V1942" s="8"/>
      <c r="Y1942" s="8"/>
      <c r="Z1942" s="8"/>
    </row>
    <row r="1943" ht="15.75" customHeight="1">
      <c r="Q1943" s="8"/>
      <c r="R1943" s="8"/>
      <c r="S1943" s="8"/>
      <c r="T1943" s="8"/>
      <c r="U1943" s="8"/>
      <c r="V1943" s="8"/>
      <c r="Y1943" s="8"/>
      <c r="Z1943" s="8"/>
    </row>
    <row r="1944" ht="15.75" customHeight="1">
      <c r="Q1944" s="8"/>
      <c r="R1944" s="8"/>
      <c r="S1944" s="8"/>
      <c r="T1944" s="8"/>
      <c r="U1944" s="8"/>
      <c r="V1944" s="8"/>
      <c r="Y1944" s="8"/>
      <c r="Z1944" s="8"/>
    </row>
    <row r="1945" ht="15.75" customHeight="1">
      <c r="Q1945" s="8"/>
      <c r="R1945" s="8"/>
      <c r="S1945" s="8"/>
      <c r="T1945" s="8"/>
      <c r="U1945" s="8"/>
      <c r="V1945" s="8"/>
      <c r="Y1945" s="8"/>
      <c r="Z1945" s="8"/>
    </row>
    <row r="1946" ht="15.75" customHeight="1">
      <c r="Q1946" s="8"/>
      <c r="R1946" s="8"/>
      <c r="S1946" s="8"/>
      <c r="T1946" s="8"/>
      <c r="U1946" s="8"/>
      <c r="V1946" s="8"/>
      <c r="Y1946" s="8"/>
      <c r="Z1946" s="8"/>
    </row>
    <row r="1947" ht="15.75" customHeight="1">
      <c r="Q1947" s="8"/>
      <c r="R1947" s="8"/>
      <c r="S1947" s="8"/>
      <c r="T1947" s="8"/>
      <c r="U1947" s="8"/>
      <c r="V1947" s="8"/>
      <c r="Y1947" s="8"/>
      <c r="Z1947" s="8"/>
    </row>
    <row r="1948" ht="15.75" customHeight="1">
      <c r="Q1948" s="8"/>
      <c r="R1948" s="8"/>
      <c r="S1948" s="8"/>
      <c r="T1948" s="8"/>
      <c r="U1948" s="8"/>
      <c r="V1948" s="8"/>
      <c r="Y1948" s="8"/>
      <c r="Z1948" s="8"/>
    </row>
    <row r="1949" ht="15.75" customHeight="1">
      <c r="Q1949" s="8"/>
      <c r="R1949" s="8"/>
      <c r="S1949" s="8"/>
      <c r="T1949" s="8"/>
      <c r="U1949" s="8"/>
      <c r="V1949" s="8"/>
      <c r="Y1949" s="8"/>
      <c r="Z1949" s="8"/>
    </row>
    <row r="1950" ht="15.75" customHeight="1">
      <c r="Q1950" s="8"/>
      <c r="R1950" s="8"/>
      <c r="S1950" s="8"/>
      <c r="T1950" s="8"/>
      <c r="U1950" s="8"/>
      <c r="V1950" s="8"/>
      <c r="Y1950" s="8"/>
      <c r="Z1950" s="8"/>
    </row>
    <row r="1951" ht="15.75" customHeight="1">
      <c r="Q1951" s="8"/>
      <c r="R1951" s="8"/>
      <c r="S1951" s="8"/>
      <c r="T1951" s="8"/>
      <c r="U1951" s="8"/>
      <c r="V1951" s="8"/>
      <c r="Y1951" s="8"/>
      <c r="Z1951" s="8"/>
    </row>
    <row r="1952" ht="15.75" customHeight="1">
      <c r="Q1952" s="8"/>
      <c r="R1952" s="8"/>
      <c r="S1952" s="8"/>
      <c r="T1952" s="8"/>
      <c r="U1952" s="8"/>
      <c r="V1952" s="8"/>
      <c r="Y1952" s="8"/>
      <c r="Z1952" s="8"/>
    </row>
    <row r="1953" ht="15.75" customHeight="1">
      <c r="Q1953" s="8"/>
      <c r="R1953" s="8"/>
      <c r="S1953" s="8"/>
      <c r="T1953" s="8"/>
      <c r="U1953" s="8"/>
      <c r="V1953" s="8"/>
      <c r="Y1953" s="8"/>
      <c r="Z1953" s="8"/>
    </row>
    <row r="1954" ht="15.75" customHeight="1">
      <c r="Q1954" s="8"/>
      <c r="R1954" s="8"/>
      <c r="S1954" s="8"/>
      <c r="T1954" s="8"/>
      <c r="U1954" s="8"/>
      <c r="V1954" s="8"/>
      <c r="Y1954" s="8"/>
      <c r="Z1954" s="8"/>
    </row>
    <row r="1955" ht="15.75" customHeight="1">
      <c r="Q1955" s="8"/>
      <c r="R1955" s="8"/>
      <c r="S1955" s="8"/>
      <c r="T1955" s="8"/>
      <c r="U1955" s="8"/>
      <c r="V1955" s="8"/>
      <c r="Y1955" s="8"/>
      <c r="Z1955" s="8"/>
    </row>
    <row r="1956" ht="15.75" customHeight="1">
      <c r="Q1956" s="8"/>
      <c r="R1956" s="8"/>
      <c r="S1956" s="8"/>
      <c r="T1956" s="8"/>
      <c r="U1956" s="8"/>
      <c r="V1956" s="8"/>
      <c r="Y1956" s="8"/>
      <c r="Z1956" s="8"/>
    </row>
    <row r="1957" ht="15.75" customHeight="1">
      <c r="Q1957" s="8"/>
      <c r="R1957" s="8"/>
      <c r="S1957" s="8"/>
      <c r="T1957" s="8"/>
      <c r="U1957" s="8"/>
      <c r="V1957" s="8"/>
      <c r="Y1957" s="8"/>
      <c r="Z1957" s="8"/>
    </row>
    <row r="1958" ht="15.75" customHeight="1">
      <c r="Q1958" s="8"/>
      <c r="R1958" s="8"/>
      <c r="S1958" s="8"/>
      <c r="T1958" s="8"/>
      <c r="U1958" s="8"/>
      <c r="V1958" s="8"/>
      <c r="Y1958" s="8"/>
      <c r="Z1958" s="8"/>
    </row>
    <row r="1959" ht="15.75" customHeight="1">
      <c r="Q1959" s="8"/>
      <c r="R1959" s="8"/>
      <c r="S1959" s="8"/>
      <c r="T1959" s="8"/>
      <c r="U1959" s="8"/>
      <c r="V1959" s="8"/>
      <c r="Y1959" s="8"/>
      <c r="Z1959" s="8"/>
    </row>
    <row r="1960" ht="15.75" customHeight="1">
      <c r="Q1960" s="8"/>
      <c r="R1960" s="8"/>
      <c r="S1960" s="8"/>
      <c r="T1960" s="8"/>
      <c r="U1960" s="8"/>
      <c r="V1960" s="8"/>
      <c r="Y1960" s="8"/>
      <c r="Z1960" s="8"/>
    </row>
    <row r="1961" ht="15.75" customHeight="1">
      <c r="Q1961" s="8"/>
      <c r="R1961" s="8"/>
      <c r="S1961" s="8"/>
      <c r="T1961" s="8"/>
      <c r="U1961" s="8"/>
      <c r="V1961" s="8"/>
      <c r="Y1961" s="8"/>
      <c r="Z1961" s="8"/>
    </row>
    <row r="1962" ht="15.75" customHeight="1">
      <c r="Q1962" s="8"/>
      <c r="R1962" s="8"/>
      <c r="S1962" s="8"/>
      <c r="T1962" s="8"/>
      <c r="U1962" s="8"/>
      <c r="V1962" s="8"/>
      <c r="Y1962" s="8"/>
      <c r="Z1962" s="8"/>
    </row>
    <row r="1963" ht="15.75" customHeight="1">
      <c r="Q1963" s="8"/>
      <c r="R1963" s="8"/>
      <c r="S1963" s="8"/>
      <c r="T1963" s="8"/>
      <c r="U1963" s="8"/>
      <c r="V1963" s="8"/>
      <c r="Y1963" s="8"/>
      <c r="Z1963" s="8"/>
    </row>
    <row r="1964" ht="15.75" customHeight="1">
      <c r="Q1964" s="8"/>
      <c r="R1964" s="8"/>
      <c r="S1964" s="8"/>
      <c r="T1964" s="8"/>
      <c r="U1964" s="8"/>
      <c r="V1964" s="8"/>
      <c r="Y1964" s="8"/>
      <c r="Z1964" s="8"/>
    </row>
    <row r="1965" ht="15.75" customHeight="1">
      <c r="Q1965" s="8"/>
      <c r="R1965" s="8"/>
      <c r="S1965" s="8"/>
      <c r="T1965" s="8"/>
      <c r="U1965" s="8"/>
      <c r="V1965" s="8"/>
      <c r="Y1965" s="8"/>
      <c r="Z1965" s="8"/>
    </row>
    <row r="1966" ht="15.75" customHeight="1">
      <c r="Q1966" s="8"/>
      <c r="R1966" s="8"/>
      <c r="S1966" s="8"/>
      <c r="T1966" s="8"/>
      <c r="U1966" s="8"/>
      <c r="V1966" s="8"/>
      <c r="Y1966" s="8"/>
      <c r="Z1966" s="8"/>
    </row>
    <row r="1967" ht="15.75" customHeight="1">
      <c r="Q1967" s="8"/>
      <c r="R1967" s="8"/>
      <c r="S1967" s="8"/>
      <c r="T1967" s="8"/>
      <c r="U1967" s="8"/>
      <c r="V1967" s="8"/>
      <c r="Y1967" s="8"/>
      <c r="Z1967" s="8"/>
    </row>
    <row r="1968" ht="15.75" customHeight="1">
      <c r="Q1968" s="8"/>
      <c r="R1968" s="8"/>
      <c r="S1968" s="8"/>
      <c r="T1968" s="8"/>
      <c r="U1968" s="8"/>
      <c r="V1968" s="8"/>
      <c r="Y1968" s="8"/>
      <c r="Z1968" s="8"/>
    </row>
    <row r="1969" ht="15.75" customHeight="1">
      <c r="Q1969" s="8"/>
      <c r="R1969" s="8"/>
      <c r="S1969" s="8"/>
      <c r="T1969" s="8"/>
      <c r="U1969" s="8"/>
      <c r="V1969" s="8"/>
      <c r="Y1969" s="8"/>
      <c r="Z1969" s="8"/>
    </row>
    <row r="1970" ht="15.75" customHeight="1">
      <c r="Q1970" s="8"/>
      <c r="R1970" s="8"/>
      <c r="S1970" s="8"/>
      <c r="T1970" s="8"/>
      <c r="U1970" s="8"/>
      <c r="V1970" s="8"/>
      <c r="Y1970" s="8"/>
      <c r="Z1970" s="8"/>
    </row>
    <row r="1971" ht="15.75" customHeight="1">
      <c r="Q1971" s="8"/>
      <c r="R1971" s="8"/>
      <c r="S1971" s="8"/>
      <c r="T1971" s="8"/>
      <c r="U1971" s="8"/>
      <c r="V1971" s="8"/>
      <c r="Y1971" s="8"/>
      <c r="Z1971" s="8"/>
    </row>
    <row r="1972" ht="15.75" customHeight="1">
      <c r="Q1972" s="8"/>
      <c r="R1972" s="8"/>
      <c r="S1972" s="8"/>
      <c r="T1972" s="8"/>
      <c r="U1972" s="8"/>
      <c r="V1972" s="8"/>
      <c r="Y1972" s="8"/>
      <c r="Z1972" s="8"/>
    </row>
    <row r="1973" ht="15.75" customHeight="1">
      <c r="Q1973" s="8"/>
      <c r="R1973" s="8"/>
      <c r="S1973" s="8"/>
      <c r="T1973" s="8"/>
      <c r="U1973" s="8"/>
      <c r="V1973" s="8"/>
      <c r="Y1973" s="8"/>
      <c r="Z1973" s="8"/>
    </row>
    <row r="1974" ht="15.75" customHeight="1">
      <c r="Q1974" s="8"/>
      <c r="R1974" s="8"/>
      <c r="S1974" s="8"/>
      <c r="T1974" s="8"/>
      <c r="U1974" s="8"/>
      <c r="V1974" s="8"/>
      <c r="Y1974" s="8"/>
      <c r="Z1974" s="8"/>
    </row>
    <row r="1975" ht="15.75" customHeight="1">
      <c r="Q1975" s="8"/>
      <c r="R1975" s="8"/>
      <c r="S1975" s="8"/>
      <c r="T1975" s="8"/>
      <c r="U1975" s="8"/>
      <c r="V1975" s="8"/>
      <c r="Y1975" s="8"/>
      <c r="Z1975" s="8"/>
    </row>
    <row r="1976" ht="15.75" customHeight="1">
      <c r="Q1976" s="8"/>
      <c r="R1976" s="8"/>
      <c r="S1976" s="8"/>
      <c r="T1976" s="8"/>
      <c r="U1976" s="8"/>
      <c r="V1976" s="8"/>
      <c r="Y1976" s="8"/>
      <c r="Z1976" s="8"/>
    </row>
    <row r="1977" ht="15.75" customHeight="1">
      <c r="Q1977" s="8"/>
      <c r="R1977" s="8"/>
      <c r="S1977" s="8"/>
      <c r="T1977" s="8"/>
      <c r="U1977" s="8"/>
      <c r="V1977" s="8"/>
      <c r="Y1977" s="8"/>
      <c r="Z1977" s="8"/>
    </row>
    <row r="1978" ht="15.75" customHeight="1">
      <c r="Q1978" s="8"/>
      <c r="R1978" s="8"/>
      <c r="S1978" s="8"/>
      <c r="T1978" s="8"/>
      <c r="U1978" s="8"/>
      <c r="V1978" s="8"/>
      <c r="Y1978" s="8"/>
      <c r="Z1978" s="8"/>
    </row>
    <row r="1979" ht="15.75" customHeight="1">
      <c r="Q1979" s="8"/>
      <c r="R1979" s="8"/>
      <c r="S1979" s="8"/>
      <c r="T1979" s="8"/>
      <c r="U1979" s="8"/>
      <c r="V1979" s="8"/>
      <c r="Y1979" s="8"/>
      <c r="Z1979" s="8"/>
    </row>
    <row r="1980" ht="15.75" customHeight="1">
      <c r="Q1980" s="8"/>
      <c r="R1980" s="8"/>
      <c r="S1980" s="8"/>
      <c r="T1980" s="8"/>
      <c r="U1980" s="8"/>
      <c r="V1980" s="8"/>
      <c r="Y1980" s="8"/>
      <c r="Z1980" s="8"/>
    </row>
    <row r="1981" ht="15.75" customHeight="1">
      <c r="Q1981" s="8"/>
      <c r="R1981" s="8"/>
      <c r="S1981" s="8"/>
      <c r="T1981" s="8"/>
      <c r="U1981" s="8"/>
      <c r="V1981" s="8"/>
      <c r="Y1981" s="8"/>
      <c r="Z1981" s="8"/>
    </row>
    <row r="1982" ht="15.75" customHeight="1">
      <c r="Q1982" s="8"/>
      <c r="R1982" s="8"/>
      <c r="S1982" s="8"/>
      <c r="T1982" s="8"/>
      <c r="U1982" s="8"/>
      <c r="V1982" s="8"/>
      <c r="Y1982" s="8"/>
      <c r="Z1982" s="8"/>
    </row>
    <row r="1983" ht="15.75" customHeight="1">
      <c r="Q1983" s="8"/>
      <c r="R1983" s="8"/>
      <c r="S1983" s="8"/>
      <c r="T1983" s="8"/>
      <c r="U1983" s="8"/>
      <c r="V1983" s="8"/>
      <c r="Y1983" s="8"/>
      <c r="Z1983" s="8"/>
    </row>
    <row r="1984" ht="15.75" customHeight="1">
      <c r="Q1984" s="8"/>
      <c r="R1984" s="8"/>
      <c r="S1984" s="8"/>
      <c r="T1984" s="8"/>
      <c r="U1984" s="8"/>
      <c r="V1984" s="8"/>
      <c r="Y1984" s="8"/>
      <c r="Z1984" s="8"/>
    </row>
    <row r="1985" ht="15.75" customHeight="1">
      <c r="Q1985" s="8"/>
      <c r="R1985" s="8"/>
      <c r="S1985" s="8"/>
      <c r="T1985" s="8"/>
      <c r="U1985" s="8"/>
      <c r="V1985" s="8"/>
      <c r="Y1985" s="8"/>
      <c r="Z1985" s="8"/>
    </row>
    <row r="1986" ht="15.75" customHeight="1">
      <c r="Q1986" s="8"/>
      <c r="R1986" s="8"/>
      <c r="S1986" s="8"/>
      <c r="T1986" s="8"/>
      <c r="U1986" s="8"/>
      <c r="V1986" s="8"/>
      <c r="Y1986" s="8"/>
      <c r="Z1986" s="8"/>
    </row>
    <row r="1987" ht="15.75" customHeight="1">
      <c r="Q1987" s="8"/>
      <c r="R1987" s="8"/>
      <c r="S1987" s="8"/>
      <c r="T1987" s="8"/>
      <c r="U1987" s="8"/>
      <c r="V1987" s="8"/>
      <c r="Y1987" s="8"/>
      <c r="Z1987" s="8"/>
    </row>
    <row r="1988" ht="15.75" customHeight="1">
      <c r="Q1988" s="8"/>
      <c r="R1988" s="8"/>
      <c r="S1988" s="8"/>
      <c r="T1988" s="8"/>
      <c r="U1988" s="8"/>
      <c r="V1988" s="8"/>
      <c r="Y1988" s="8"/>
      <c r="Z1988" s="8"/>
    </row>
    <row r="1989" ht="15.75" customHeight="1">
      <c r="Q1989" s="8"/>
      <c r="R1989" s="8"/>
      <c r="S1989" s="8"/>
      <c r="T1989" s="8"/>
      <c r="U1989" s="8"/>
      <c r="V1989" s="8"/>
      <c r="Y1989" s="8"/>
      <c r="Z1989" s="8"/>
    </row>
    <row r="1990" ht="15.75" customHeight="1">
      <c r="Q1990" s="8"/>
      <c r="R1990" s="8"/>
      <c r="S1990" s="8"/>
      <c r="T1990" s="8"/>
      <c r="U1990" s="8"/>
      <c r="V1990" s="8"/>
      <c r="Y1990" s="8"/>
      <c r="Z1990" s="8"/>
    </row>
    <row r="1991" ht="15.75" customHeight="1">
      <c r="Q1991" s="8"/>
      <c r="R1991" s="8"/>
      <c r="S1991" s="8"/>
      <c r="T1991" s="8"/>
      <c r="U1991" s="8"/>
      <c r="V1991" s="8"/>
      <c r="Y1991" s="8"/>
      <c r="Z1991" s="8"/>
    </row>
    <row r="1992" ht="15.75" customHeight="1">
      <c r="Q1992" s="8"/>
      <c r="R1992" s="8"/>
      <c r="S1992" s="8"/>
      <c r="T1992" s="8"/>
      <c r="U1992" s="8"/>
      <c r="V1992" s="8"/>
      <c r="Y1992" s="8"/>
      <c r="Z1992" s="8"/>
    </row>
    <row r="1993" ht="15.75" customHeight="1">
      <c r="Q1993" s="8"/>
      <c r="R1993" s="8"/>
      <c r="S1993" s="8"/>
      <c r="T1993" s="8"/>
      <c r="U1993" s="8"/>
      <c r="V1993" s="8"/>
      <c r="Y1993" s="8"/>
      <c r="Z1993" s="8"/>
    </row>
    <row r="1994" ht="15.75" customHeight="1">
      <c r="Q1994" s="8"/>
      <c r="R1994" s="8"/>
      <c r="S1994" s="8"/>
      <c r="T1994" s="8"/>
      <c r="U1994" s="8"/>
      <c r="V1994" s="8"/>
      <c r="Y1994" s="8"/>
      <c r="Z1994" s="8"/>
    </row>
    <row r="1995" ht="15.75" customHeight="1">
      <c r="Q1995" s="8"/>
      <c r="R1995" s="8"/>
      <c r="S1995" s="8"/>
      <c r="T1995" s="8"/>
      <c r="U1995" s="8"/>
      <c r="V1995" s="8"/>
      <c r="Y1995" s="8"/>
      <c r="Z1995" s="8"/>
    </row>
    <row r="1996" ht="15.75" customHeight="1">
      <c r="Q1996" s="8"/>
      <c r="R1996" s="8"/>
      <c r="S1996" s="8"/>
      <c r="T1996" s="8"/>
      <c r="U1996" s="8"/>
      <c r="V1996" s="8"/>
      <c r="Y1996" s="8"/>
      <c r="Z1996" s="8"/>
    </row>
    <row r="1997" ht="15.75" customHeight="1">
      <c r="Q1997" s="8"/>
      <c r="R1997" s="8"/>
      <c r="S1997" s="8"/>
      <c r="T1997" s="8"/>
      <c r="U1997" s="8"/>
      <c r="V1997" s="8"/>
      <c r="Y1997" s="8"/>
      <c r="Z1997" s="8"/>
    </row>
    <row r="1998" ht="15.75" customHeight="1">
      <c r="Q1998" s="8"/>
      <c r="R1998" s="8"/>
      <c r="S1998" s="8"/>
      <c r="T1998" s="8"/>
      <c r="U1998" s="8"/>
      <c r="V1998" s="8"/>
      <c r="Y1998" s="8"/>
      <c r="Z1998" s="8"/>
    </row>
    <row r="1999" ht="15.75" customHeight="1">
      <c r="Q1999" s="8"/>
      <c r="R1999" s="8"/>
      <c r="S1999" s="8"/>
      <c r="T1999" s="8"/>
      <c r="U1999" s="8"/>
      <c r="V1999" s="8"/>
      <c r="Y1999" s="8"/>
      <c r="Z1999" s="8"/>
    </row>
    <row r="2000" ht="15.75" customHeight="1">
      <c r="Q2000" s="8"/>
      <c r="R2000" s="8"/>
      <c r="S2000" s="8"/>
      <c r="T2000" s="8"/>
      <c r="U2000" s="8"/>
      <c r="V2000" s="8"/>
      <c r="Y2000" s="8"/>
      <c r="Z2000" s="8"/>
    </row>
  </sheetData>
  <autoFilter ref="$A$1:$BC$136"/>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B2" s="1" t="s">
        <v>1613</v>
      </c>
      <c r="C2" s="14" t="s">
        <v>1614</v>
      </c>
      <c r="D2" s="1" t="s">
        <v>1613</v>
      </c>
      <c r="E2" s="1" t="s">
        <v>61</v>
      </c>
      <c r="F2" s="11" t="s">
        <v>1615</v>
      </c>
      <c r="G2" s="15" t="s">
        <v>1616</v>
      </c>
      <c r="H2" s="11" t="s">
        <v>1617</v>
      </c>
      <c r="I2" s="8" t="str">
        <f t="shared" ref="I2:I15" si="1">CONCATENATE(B2,C2,D2,E2,F2,G2,H2)</f>
        <v>"Porque las propuestas o los principios en que se fundamentaba la campaña electoral y que se haría en realidad una vez conquistado el gobierno, no se cumplen. Si hablamos de seguridad, si hablamos de educación, si hablamos de gente en situación de calle, si hablamos de pobreza, el MIDE se está trabajando muy mal, la pobreza va a ser difícil combatirla si solamente se trata de erogaciones a favor de quienes están en esa situación, valga la redundancia, pero no para inducirlos a mirar nuevos horizontes, a proyectar, a formarse. Entonces no es aprobable este gobierno." (Mujer Interior Coalición CM oposicion_cerril)</v>
      </c>
    </row>
    <row r="3">
      <c r="B3" s="1" t="s">
        <v>1613</v>
      </c>
      <c r="C3" s="15" t="s">
        <v>738</v>
      </c>
      <c r="D3" s="1" t="s">
        <v>1613</v>
      </c>
      <c r="E3" s="1" t="s">
        <v>61</v>
      </c>
      <c r="F3" s="11" t="s">
        <v>1615</v>
      </c>
      <c r="G3" s="15" t="s">
        <v>1618</v>
      </c>
      <c r="H3" s="11" t="s">
        <v>1617</v>
      </c>
      <c r="I3" s="8" t="str">
        <f t="shared" si="1"/>
        <v>"Dejar de lado ideologías políticas y hacer relaciones diplomáticas con países q contribuyan a mejorar la economía del país , si hay buena economía el resto se arregla solo" (Hombre Montevideo CM oposicion_abierta)</v>
      </c>
    </row>
    <row r="4">
      <c r="B4" s="1" t="s">
        <v>1613</v>
      </c>
      <c r="C4" s="15" t="s">
        <v>931</v>
      </c>
      <c r="D4" s="1" t="s">
        <v>1613</v>
      </c>
      <c r="E4" s="1" t="s">
        <v>61</v>
      </c>
      <c r="F4" s="11" t="s">
        <v>1615</v>
      </c>
      <c r="G4" s="15" t="s">
        <v>1619</v>
      </c>
      <c r="H4" s="11" t="s">
        <v>1617</v>
      </c>
      <c r="I4" s="8" t="str">
        <f t="shared" si="1"/>
        <v>"Creo que deberían escuchar cuales son las necesidades actuales de la población, ya que parece que se ocupan mas de cosas que no tienen importancia" (Mujer Montevideo CM oposicion_abierta)</v>
      </c>
    </row>
    <row r="5">
      <c r="B5" s="1" t="s">
        <v>1613</v>
      </c>
      <c r="C5" s="15" t="s">
        <v>1101</v>
      </c>
      <c r="D5" s="1" t="s">
        <v>1613</v>
      </c>
      <c r="E5" s="1" t="s">
        <v>61</v>
      </c>
      <c r="F5" s="11" t="s">
        <v>1615</v>
      </c>
      <c r="G5" s="15" t="s">
        <v>1620</v>
      </c>
      <c r="H5" s="11" t="s">
        <v>1617</v>
      </c>
      <c r="I5" s="8" t="str">
        <f t="shared" si="1"/>
        <v>"Creo que tendría que seguir escuchando las inquietudes de el pueblo, y en base a la necesidad seguir realizando" (Hombre Montevideo FA oficialista_abierto)</v>
      </c>
    </row>
    <row r="6">
      <c r="B6" s="1" t="s">
        <v>1613</v>
      </c>
      <c r="C6" s="15" t="s">
        <v>1399</v>
      </c>
      <c r="D6" s="1" t="s">
        <v>1613</v>
      </c>
      <c r="E6" s="1" t="s">
        <v>61</v>
      </c>
      <c r="F6" s="11" t="s">
        <v>1615</v>
      </c>
      <c r="G6" s="15" t="s">
        <v>1621</v>
      </c>
      <c r="H6" s="11" t="s">
        <v>1617</v>
      </c>
      <c r="I6" s="8" t="str">
        <f t="shared" si="1"/>
        <v>"Avanzar en investigaciones
Avanzar en cooperación entre partidos, dejar la campaña de 5 años
Comprometerse fuertemente con combatir la pobreza
Cuidar organizando muy bien la comunicación con la gente
Hacer éticamente y mostrar lo que hace desde la defenza permanente de la ética" (Mujer Canelones FA )</v>
      </c>
    </row>
    <row r="7">
      <c r="B7" s="1" t="s">
        <v>1613</v>
      </c>
      <c r="C7" s="15" t="s">
        <v>1430</v>
      </c>
      <c r="D7" s="1" t="s">
        <v>1613</v>
      </c>
      <c r="E7" s="1" t="s">
        <v>61</v>
      </c>
      <c r="F7" s="11" t="s">
        <v>1615</v>
      </c>
      <c r="G7" s="15" t="s">
        <v>1622</v>
      </c>
      <c r="H7" s="11" t="s">
        <v>1617</v>
      </c>
      <c r="I7" s="8" t="str">
        <f t="shared" si="1"/>
        <v>"Tomar las riendas del gobierno , participar mas y estar mas presente como gobernante" (Mujer Canelones FA dialoguista)</v>
      </c>
    </row>
    <row r="8">
      <c r="B8" s="1" t="s">
        <v>1613</v>
      </c>
      <c r="C8" s="14"/>
      <c r="D8" s="1" t="s">
        <v>1613</v>
      </c>
      <c r="E8" s="1" t="s">
        <v>61</v>
      </c>
      <c r="F8" s="11" t="s">
        <v>1615</v>
      </c>
      <c r="G8" s="15"/>
      <c r="H8" s="11" t="s">
        <v>1617</v>
      </c>
      <c r="I8" s="8" t="str">
        <f t="shared" si="1"/>
        <v>"" ()</v>
      </c>
    </row>
    <row r="9">
      <c r="B9" s="1" t="s">
        <v>1613</v>
      </c>
      <c r="C9" s="15"/>
      <c r="D9" s="1" t="s">
        <v>1613</v>
      </c>
      <c r="E9" s="1" t="s">
        <v>61</v>
      </c>
      <c r="F9" s="11" t="s">
        <v>1615</v>
      </c>
      <c r="G9" s="15"/>
      <c r="H9" s="11" t="s">
        <v>1617</v>
      </c>
      <c r="I9" s="8" t="str">
        <f t="shared" si="1"/>
        <v>"" ()</v>
      </c>
    </row>
    <row r="10">
      <c r="B10" s="1" t="s">
        <v>1613</v>
      </c>
      <c r="C10" s="15"/>
      <c r="D10" s="1" t="s">
        <v>1613</v>
      </c>
      <c r="E10" s="1" t="s">
        <v>61</v>
      </c>
      <c r="F10" s="11" t="s">
        <v>1615</v>
      </c>
      <c r="G10" s="15"/>
      <c r="H10" s="11" t="s">
        <v>1617</v>
      </c>
      <c r="I10" s="8" t="str">
        <f t="shared" si="1"/>
        <v>"" ()</v>
      </c>
    </row>
    <row r="11">
      <c r="B11" s="1" t="s">
        <v>1613</v>
      </c>
      <c r="C11" s="15"/>
      <c r="D11" s="1" t="s">
        <v>1613</v>
      </c>
      <c r="E11" s="1" t="s">
        <v>61</v>
      </c>
      <c r="F11" s="11" t="s">
        <v>1615</v>
      </c>
      <c r="G11" s="15"/>
      <c r="H11" s="11" t="s">
        <v>1617</v>
      </c>
      <c r="I11" s="8" t="str">
        <f t="shared" si="1"/>
        <v>"" ()</v>
      </c>
    </row>
    <row r="12">
      <c r="B12" s="1" t="s">
        <v>1613</v>
      </c>
      <c r="C12" s="15"/>
      <c r="D12" s="1" t="s">
        <v>1613</v>
      </c>
      <c r="E12" s="1" t="s">
        <v>61</v>
      </c>
      <c r="F12" s="11" t="s">
        <v>1615</v>
      </c>
      <c r="G12" s="15"/>
      <c r="H12" s="11" t="s">
        <v>1617</v>
      </c>
      <c r="I12" s="8" t="str">
        <f t="shared" si="1"/>
        <v>"" ()</v>
      </c>
    </row>
    <row r="13">
      <c r="B13" s="1" t="s">
        <v>1613</v>
      </c>
      <c r="C13" s="15"/>
      <c r="D13" s="1" t="s">
        <v>1613</v>
      </c>
      <c r="E13" s="1" t="s">
        <v>61</v>
      </c>
      <c r="F13" s="11" t="s">
        <v>1615</v>
      </c>
      <c r="G13" s="15"/>
      <c r="H13" s="11" t="s">
        <v>1617</v>
      </c>
      <c r="I13" s="8" t="str">
        <f t="shared" si="1"/>
        <v>"" ()</v>
      </c>
    </row>
    <row r="14">
      <c r="B14" s="1" t="s">
        <v>1613</v>
      </c>
      <c r="C14" s="15"/>
      <c r="D14" s="1" t="s">
        <v>1613</v>
      </c>
      <c r="E14" s="1" t="s">
        <v>61</v>
      </c>
      <c r="F14" s="11" t="s">
        <v>1615</v>
      </c>
      <c r="G14" s="15"/>
      <c r="H14" s="11" t="s">
        <v>1617</v>
      </c>
      <c r="I14" s="8" t="str">
        <f t="shared" si="1"/>
        <v>"" ()</v>
      </c>
    </row>
    <row r="15">
      <c r="B15" s="1" t="s">
        <v>1613</v>
      </c>
      <c r="C15" s="15"/>
      <c r="D15" s="1" t="s">
        <v>1613</v>
      </c>
      <c r="E15" s="1" t="s">
        <v>61</v>
      </c>
      <c r="F15" s="11" t="s">
        <v>1615</v>
      </c>
      <c r="G15" s="15"/>
      <c r="H15" s="11" t="s">
        <v>1617</v>
      </c>
      <c r="I15" s="8" t="str">
        <f t="shared" si="1"/>
        <v>"" ()</v>
      </c>
    </row>
    <row r="18">
      <c r="C18" s="2" t="s">
        <v>1616</v>
      </c>
      <c r="D18" s="2" t="s">
        <v>871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1623</v>
      </c>
      <c r="C1" s="1" t="s">
        <v>1624</v>
      </c>
    </row>
    <row r="2">
      <c r="A2" s="1" t="s">
        <v>1625</v>
      </c>
      <c r="C2" s="1" t="s">
        <v>1624</v>
      </c>
    </row>
    <row r="3">
      <c r="A3" s="1" t="s">
        <v>1626</v>
      </c>
      <c r="C3" s="1" t="s">
        <v>1624</v>
      </c>
    </row>
    <row r="4">
      <c r="A4" s="1" t="s">
        <v>1627</v>
      </c>
      <c r="C4" s="1" t="s">
        <v>1624</v>
      </c>
    </row>
    <row r="5">
      <c r="B5" s="16"/>
      <c r="C5" s="17" t="s">
        <v>1628</v>
      </c>
      <c r="D5" s="18"/>
      <c r="E5" s="18"/>
      <c r="F5" s="19"/>
      <c r="G5" s="20" t="s">
        <v>1629</v>
      </c>
      <c r="H5" s="18"/>
      <c r="I5" s="21"/>
    </row>
    <row r="6">
      <c r="B6" s="22"/>
      <c r="C6" s="23" t="s">
        <v>56</v>
      </c>
      <c r="D6" s="23" t="s">
        <v>296</v>
      </c>
      <c r="E6" s="23" t="s">
        <v>180</v>
      </c>
      <c r="F6" s="24" t="s">
        <v>278</v>
      </c>
      <c r="G6" s="25" t="s">
        <v>149</v>
      </c>
      <c r="H6" s="23" t="s">
        <v>60</v>
      </c>
      <c r="I6" s="23" t="s">
        <v>1630</v>
      </c>
    </row>
    <row r="7">
      <c r="B7" s="26" t="s">
        <v>67</v>
      </c>
      <c r="C7" s="27">
        <v>11.0</v>
      </c>
      <c r="D7" s="27">
        <v>13.0</v>
      </c>
      <c r="E7" s="27">
        <v>14.0</v>
      </c>
      <c r="F7" s="28">
        <v>11.0</v>
      </c>
      <c r="G7" s="27">
        <v>20.0</v>
      </c>
      <c r="H7" s="27">
        <v>29.0</v>
      </c>
      <c r="I7" s="29">
        <v>49.0</v>
      </c>
    </row>
    <row r="8">
      <c r="B8" s="30" t="s">
        <v>88</v>
      </c>
      <c r="C8" s="27">
        <v>10.0</v>
      </c>
      <c r="D8" s="27">
        <v>18.0</v>
      </c>
      <c r="E8" s="27">
        <v>2.0</v>
      </c>
      <c r="F8" s="28">
        <v>14.0</v>
      </c>
      <c r="G8" s="27">
        <v>33.0</v>
      </c>
      <c r="H8" s="27">
        <v>11.0</v>
      </c>
      <c r="I8" s="29">
        <v>44.0</v>
      </c>
    </row>
    <row r="9">
      <c r="B9" s="30" t="s">
        <v>62</v>
      </c>
      <c r="C9" s="27">
        <v>17.0</v>
      </c>
      <c r="D9" s="27">
        <v>2.0</v>
      </c>
      <c r="E9" s="27">
        <v>14.0</v>
      </c>
      <c r="F9" s="28">
        <v>8.0</v>
      </c>
      <c r="G9" s="27">
        <v>2.0</v>
      </c>
      <c r="H9" s="27">
        <v>39.0</v>
      </c>
      <c r="I9" s="29">
        <v>41.0</v>
      </c>
    </row>
    <row r="10">
      <c r="B10" s="30" t="s">
        <v>210</v>
      </c>
      <c r="C10" s="27">
        <v>0.0</v>
      </c>
      <c r="D10" s="27">
        <v>1.0</v>
      </c>
      <c r="E10" s="27">
        <v>0.0</v>
      </c>
      <c r="F10" s="28">
        <v>0.0</v>
      </c>
      <c r="G10" s="27">
        <v>1.0</v>
      </c>
      <c r="H10" s="27">
        <v>0.0</v>
      </c>
      <c r="I10" s="29">
        <v>1.0</v>
      </c>
    </row>
    <row r="11">
      <c r="B11" s="23" t="s">
        <v>1630</v>
      </c>
      <c r="C11" s="23">
        <v>38.0</v>
      </c>
      <c r="D11" s="23">
        <v>34.0</v>
      </c>
      <c r="E11" s="23">
        <v>30.0</v>
      </c>
      <c r="F11" s="24">
        <v>33.0</v>
      </c>
      <c r="G11" s="25">
        <v>56.0</v>
      </c>
      <c r="H11" s="23">
        <v>79.0</v>
      </c>
      <c r="I11" s="23">
        <v>135.0</v>
      </c>
    </row>
  </sheetData>
  <mergeCells count="2">
    <mergeCell ref="C5:F5"/>
    <mergeCell ref="G5:I5"/>
  </mergeCells>
  <conditionalFormatting sqref="C7:C10">
    <cfRule type="colorScale" priority="1">
      <colorScale>
        <cfvo type="min"/>
        <cfvo type="max"/>
        <color rgb="FFFFFFFF"/>
        <color rgb="FFE67C73"/>
      </colorScale>
    </cfRule>
  </conditionalFormatting>
  <conditionalFormatting sqref="D7:D10">
    <cfRule type="colorScale" priority="2">
      <colorScale>
        <cfvo type="min"/>
        <cfvo type="max"/>
        <color rgb="FFFFFFFF"/>
        <color rgb="FFE67C73"/>
      </colorScale>
    </cfRule>
  </conditionalFormatting>
  <conditionalFormatting sqref="E7:E10">
    <cfRule type="colorScale" priority="3">
      <colorScale>
        <cfvo type="min"/>
        <cfvo type="max"/>
        <color rgb="FFFFFFFF"/>
        <color rgb="FFE67C73"/>
      </colorScale>
    </cfRule>
  </conditionalFormatting>
  <conditionalFormatting sqref="E7:E10">
    <cfRule type="colorScale" priority="4">
      <colorScale>
        <cfvo type="min"/>
        <cfvo type="max"/>
        <color rgb="FFFFFFFF"/>
        <color rgb="FFE67C73"/>
      </colorScale>
    </cfRule>
  </conditionalFormatting>
  <conditionalFormatting sqref="F7:F10">
    <cfRule type="colorScale" priority="5">
      <colorScale>
        <cfvo type="min"/>
        <cfvo type="max"/>
        <color rgb="FFFFFFFF"/>
        <color rgb="FFE67C73"/>
      </colorScale>
    </cfRule>
  </conditionalFormatting>
  <conditionalFormatting sqref="G7:G10">
    <cfRule type="colorScale" priority="6">
      <colorScale>
        <cfvo type="min"/>
        <cfvo type="max"/>
        <color rgb="FFFFFFFF"/>
        <color rgb="FFE67C73"/>
      </colorScale>
    </cfRule>
  </conditionalFormatting>
  <conditionalFormatting sqref="G7:G10">
    <cfRule type="colorScale" priority="7">
      <colorScale>
        <cfvo type="min"/>
        <cfvo type="max"/>
        <color rgb="FFFFFFFF"/>
        <color rgb="FFE67C73"/>
      </colorScale>
    </cfRule>
  </conditionalFormatting>
  <conditionalFormatting sqref="H7:H10">
    <cfRule type="colorScale" priority="8">
      <colorScale>
        <cfvo type="min"/>
        <cfvo type="max"/>
        <color rgb="FFFFFFFF"/>
        <color rgb="FFE67C73"/>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1" t="s">
        <v>1631</v>
      </c>
      <c r="B1" s="32"/>
      <c r="C1" s="33"/>
      <c r="D1" s="33"/>
      <c r="E1" s="33"/>
      <c r="F1" s="33"/>
      <c r="G1" s="33"/>
      <c r="H1" s="33"/>
      <c r="I1" s="33"/>
      <c r="J1" s="34"/>
      <c r="K1" s="34"/>
      <c r="L1" s="34"/>
      <c r="M1" s="34"/>
      <c r="N1" s="34"/>
      <c r="O1" s="34"/>
      <c r="P1" s="34"/>
      <c r="Q1" s="34"/>
      <c r="R1" s="34"/>
      <c r="S1" s="34"/>
      <c r="T1" s="34"/>
      <c r="U1" s="34"/>
      <c r="V1" s="34"/>
      <c r="W1" s="34"/>
      <c r="X1" s="34"/>
      <c r="Y1" s="34"/>
      <c r="Z1" s="34"/>
    </row>
    <row r="2">
      <c r="B2" s="16"/>
      <c r="C2" s="35" t="s">
        <v>1628</v>
      </c>
      <c r="D2" s="36"/>
      <c r="E2" s="36"/>
      <c r="F2" s="37"/>
      <c r="G2" s="35" t="s">
        <v>1629</v>
      </c>
      <c r="H2" s="36"/>
      <c r="I2" s="37"/>
      <c r="J2" s="38">
        <v>45717.0</v>
      </c>
    </row>
    <row r="3">
      <c r="A3" s="39"/>
      <c r="B3" s="22"/>
      <c r="C3" s="23" t="s">
        <v>56</v>
      </c>
      <c r="D3" s="23" t="s">
        <v>296</v>
      </c>
      <c r="E3" s="23" t="s">
        <v>180</v>
      </c>
      <c r="F3" s="23" t="s">
        <v>278</v>
      </c>
      <c r="G3" s="23" t="s">
        <v>149</v>
      </c>
      <c r="H3" s="23" t="s">
        <v>60</v>
      </c>
      <c r="I3" s="23" t="s">
        <v>1630</v>
      </c>
      <c r="J3" s="40" t="s">
        <v>1632</v>
      </c>
      <c r="K3" s="23" t="s">
        <v>56</v>
      </c>
      <c r="L3" s="23" t="s">
        <v>296</v>
      </c>
      <c r="M3" s="23" t="s">
        <v>180</v>
      </c>
      <c r="N3" s="23" t="s">
        <v>278</v>
      </c>
      <c r="O3" s="41"/>
    </row>
    <row r="4">
      <c r="B4" s="30" t="s">
        <v>67</v>
      </c>
      <c r="C4" s="42">
        <v>17.0</v>
      </c>
      <c r="D4" s="27">
        <v>2.0</v>
      </c>
      <c r="E4" s="27">
        <v>14.0</v>
      </c>
      <c r="F4" s="43">
        <v>8.0</v>
      </c>
      <c r="G4" s="42">
        <v>2.0</v>
      </c>
      <c r="H4" s="27">
        <v>39.0</v>
      </c>
      <c r="I4" s="43">
        <v>41.0</v>
      </c>
      <c r="J4" s="43">
        <v>69.0</v>
      </c>
      <c r="K4" s="42">
        <v>18.0</v>
      </c>
      <c r="L4" s="27">
        <v>9.0</v>
      </c>
      <c r="M4" s="27">
        <v>24.0</v>
      </c>
      <c r="N4" s="43">
        <v>18.0</v>
      </c>
    </row>
    <row r="5">
      <c r="B5" s="26" t="s">
        <v>88</v>
      </c>
      <c r="C5" s="42">
        <v>11.0</v>
      </c>
      <c r="D5" s="27">
        <v>13.0</v>
      </c>
      <c r="E5" s="27">
        <v>14.0</v>
      </c>
      <c r="F5" s="43">
        <v>11.0</v>
      </c>
      <c r="G5" s="42">
        <v>20.0</v>
      </c>
      <c r="H5" s="27">
        <v>29.0</v>
      </c>
      <c r="I5" s="43">
        <v>49.0</v>
      </c>
      <c r="J5" s="43">
        <v>49.0</v>
      </c>
      <c r="K5" s="42">
        <v>15.0</v>
      </c>
      <c r="L5" s="27">
        <v>14.0</v>
      </c>
      <c r="M5" s="27">
        <v>7.0</v>
      </c>
      <c r="N5" s="43">
        <v>13.0</v>
      </c>
    </row>
    <row r="6">
      <c r="B6" s="30" t="s">
        <v>62</v>
      </c>
      <c r="C6" s="42">
        <v>10.0</v>
      </c>
      <c r="D6" s="27">
        <v>18.0</v>
      </c>
      <c r="E6" s="27">
        <v>2.0</v>
      </c>
      <c r="F6" s="43">
        <v>14.0</v>
      </c>
      <c r="G6" s="42">
        <v>33.0</v>
      </c>
      <c r="H6" s="27">
        <v>11.0</v>
      </c>
      <c r="I6" s="43">
        <v>44.0</v>
      </c>
      <c r="J6" s="43">
        <v>25.0</v>
      </c>
      <c r="K6" s="42">
        <v>7.0</v>
      </c>
      <c r="L6" s="27">
        <v>8.0</v>
      </c>
      <c r="M6" s="27">
        <v>2.0</v>
      </c>
      <c r="N6" s="43">
        <v>8.0</v>
      </c>
    </row>
    <row r="7">
      <c r="B7" s="30" t="s">
        <v>210</v>
      </c>
      <c r="C7" s="42">
        <v>0.0</v>
      </c>
      <c r="D7" s="27">
        <v>1.0</v>
      </c>
      <c r="E7" s="27">
        <v>0.0</v>
      </c>
      <c r="F7" s="43">
        <v>0.0</v>
      </c>
      <c r="G7" s="42">
        <v>1.0</v>
      </c>
      <c r="H7" s="27">
        <v>0.0</v>
      </c>
      <c r="I7" s="43">
        <v>1.0</v>
      </c>
      <c r="J7" s="43"/>
      <c r="K7" s="42"/>
      <c r="L7" s="27"/>
      <c r="M7" s="27"/>
      <c r="N7" s="43"/>
    </row>
    <row r="8">
      <c r="B8" s="23" t="s">
        <v>1630</v>
      </c>
      <c r="C8" s="23">
        <v>38.0</v>
      </c>
      <c r="D8" s="23">
        <v>34.0</v>
      </c>
      <c r="E8" s="23">
        <v>30.0</v>
      </c>
      <c r="F8" s="23">
        <v>33.0</v>
      </c>
      <c r="G8" s="23">
        <v>56.0</v>
      </c>
      <c r="H8" s="23">
        <v>79.0</v>
      </c>
      <c r="I8" s="23">
        <v>135.0</v>
      </c>
      <c r="J8" s="23">
        <v>143.0</v>
      </c>
      <c r="K8" s="23">
        <f t="shared" ref="K8:N8" si="1">SUM(K4:K7)</f>
        <v>40</v>
      </c>
      <c r="L8" s="23">
        <f t="shared" si="1"/>
        <v>31</v>
      </c>
      <c r="M8" s="23">
        <f t="shared" si="1"/>
        <v>33</v>
      </c>
      <c r="N8" s="23">
        <f t="shared" si="1"/>
        <v>39</v>
      </c>
    </row>
    <row r="10">
      <c r="B10" s="40" t="s">
        <v>1633</v>
      </c>
      <c r="C10" s="40" t="s">
        <v>1634</v>
      </c>
      <c r="D10" s="40" t="s">
        <v>1635</v>
      </c>
      <c r="E10" s="40" t="s">
        <v>1636</v>
      </c>
    </row>
    <row r="11">
      <c r="A11" s="30" t="s">
        <v>67</v>
      </c>
      <c r="B11" s="44">
        <v>69.0</v>
      </c>
      <c r="C11" s="44">
        <v>41.0</v>
      </c>
      <c r="D11" s="29">
        <v>54.0</v>
      </c>
      <c r="E11" s="29">
        <v>54.0</v>
      </c>
    </row>
    <row r="12">
      <c r="A12" s="26" t="s">
        <v>88</v>
      </c>
      <c r="B12" s="44">
        <v>49.0</v>
      </c>
      <c r="C12" s="44">
        <v>49.0</v>
      </c>
      <c r="D12" s="29">
        <v>26.0</v>
      </c>
      <c r="E12" s="29">
        <v>27.0</v>
      </c>
    </row>
    <row r="13">
      <c r="A13" s="30" t="s">
        <v>62</v>
      </c>
      <c r="B13" s="44">
        <v>25.0</v>
      </c>
      <c r="C13" s="44">
        <v>44.0</v>
      </c>
      <c r="D13" s="29">
        <v>47.0</v>
      </c>
      <c r="E13" s="29">
        <v>49.0</v>
      </c>
    </row>
    <row r="14">
      <c r="A14" s="30" t="s">
        <v>210</v>
      </c>
      <c r="B14" s="45"/>
      <c r="C14" s="44">
        <v>1.0</v>
      </c>
      <c r="D14" s="29">
        <v>6.0</v>
      </c>
      <c r="E14" s="29">
        <v>5.0</v>
      </c>
      <c r="J14" s="46"/>
      <c r="K14" s="47"/>
      <c r="L14" s="47"/>
      <c r="M14" s="47"/>
    </row>
    <row r="15">
      <c r="A15" s="23" t="s">
        <v>1630</v>
      </c>
      <c r="B15" s="23">
        <v>143.0</v>
      </c>
      <c r="C15" s="23">
        <v>135.0</v>
      </c>
      <c r="D15" s="23">
        <f>SUM(D11:D14)</f>
        <v>133</v>
      </c>
      <c r="E15" s="23">
        <v>135.0</v>
      </c>
      <c r="J15" s="48"/>
      <c r="K15" s="49"/>
      <c r="L15" s="49"/>
      <c r="M15" s="49"/>
    </row>
    <row r="16">
      <c r="J16" s="48"/>
      <c r="K16" s="49"/>
      <c r="L16" s="49"/>
      <c r="M16" s="49"/>
    </row>
    <row r="17">
      <c r="J17" s="48"/>
      <c r="K17" s="49"/>
      <c r="L17" s="49"/>
      <c r="M17" s="49"/>
    </row>
    <row r="18">
      <c r="J18" s="48"/>
      <c r="K18" s="49"/>
      <c r="L18" s="49"/>
      <c r="M18" s="49"/>
    </row>
    <row r="19">
      <c r="J19" s="48"/>
      <c r="K19" s="47"/>
      <c r="L19" s="47"/>
      <c r="M19" s="47"/>
    </row>
    <row r="21">
      <c r="J21" s="46"/>
    </row>
    <row r="22">
      <c r="J22" s="47"/>
    </row>
    <row r="23">
      <c r="J23" s="47"/>
    </row>
    <row r="24">
      <c r="J24" s="47"/>
    </row>
    <row r="29">
      <c r="A29" s="50"/>
      <c r="B29" s="21"/>
      <c r="C29" s="51" t="s">
        <v>9</v>
      </c>
      <c r="D29" s="36"/>
      <c r="E29" s="36"/>
      <c r="F29" s="37"/>
      <c r="G29" s="51" t="s">
        <v>10</v>
      </c>
      <c r="H29" s="36"/>
      <c r="I29" s="37"/>
    </row>
    <row r="30">
      <c r="A30" s="52"/>
      <c r="B30" s="53"/>
      <c r="C30" s="54" t="s">
        <v>56</v>
      </c>
      <c r="D30" s="55" t="s">
        <v>296</v>
      </c>
      <c r="E30" s="55" t="s">
        <v>180</v>
      </c>
      <c r="F30" s="55" t="s">
        <v>278</v>
      </c>
      <c r="G30" s="55" t="s">
        <v>149</v>
      </c>
      <c r="H30" s="55" t="s">
        <v>60</v>
      </c>
      <c r="I30" s="54" t="s">
        <v>1630</v>
      </c>
    </row>
    <row r="31">
      <c r="A31" s="56" t="s">
        <v>1631</v>
      </c>
      <c r="B31" s="57" t="s">
        <v>67</v>
      </c>
      <c r="C31" s="58">
        <v>0.447</v>
      </c>
      <c r="D31" s="59">
        <v>0.059</v>
      </c>
      <c r="E31" s="59">
        <v>0.467</v>
      </c>
      <c r="F31" s="59">
        <v>0.242</v>
      </c>
      <c r="G31" s="59">
        <v>0.036</v>
      </c>
      <c r="H31" s="59">
        <v>0.494</v>
      </c>
      <c r="I31" s="59">
        <v>0.304</v>
      </c>
    </row>
    <row r="32">
      <c r="A32" s="60"/>
      <c r="B32" s="61" t="s">
        <v>62</v>
      </c>
      <c r="C32" s="62">
        <v>0.263</v>
      </c>
      <c r="D32" s="63">
        <v>0.529</v>
      </c>
      <c r="E32" s="63">
        <v>0.067</v>
      </c>
      <c r="F32" s="63">
        <v>0.424</v>
      </c>
      <c r="G32" s="63">
        <v>0.589</v>
      </c>
      <c r="H32" s="63">
        <v>0.139</v>
      </c>
      <c r="I32" s="63">
        <v>0.326</v>
      </c>
    </row>
    <row r="33">
      <c r="A33" s="60"/>
      <c r="B33" s="61" t="s">
        <v>88</v>
      </c>
      <c r="C33" s="62">
        <v>0.289</v>
      </c>
      <c r="D33" s="63">
        <v>0.382</v>
      </c>
      <c r="E33" s="63">
        <v>0.467</v>
      </c>
      <c r="F33" s="63">
        <v>0.333</v>
      </c>
      <c r="G33" s="63">
        <v>0.357</v>
      </c>
      <c r="H33" s="63">
        <v>0.367</v>
      </c>
      <c r="I33" s="63">
        <v>0.363</v>
      </c>
    </row>
    <row r="34">
      <c r="A34" s="60"/>
      <c r="B34" s="61" t="s">
        <v>210</v>
      </c>
      <c r="C34" s="62">
        <v>0.0</v>
      </c>
      <c r="D34" s="63">
        <v>0.029</v>
      </c>
      <c r="E34" s="63">
        <v>0.0</v>
      </c>
      <c r="F34" s="63">
        <v>0.0</v>
      </c>
      <c r="G34" s="63">
        <v>0.018</v>
      </c>
      <c r="H34" s="63">
        <v>0.0</v>
      </c>
      <c r="I34" s="63">
        <v>0.007</v>
      </c>
    </row>
    <row r="35">
      <c r="A35" s="60"/>
      <c r="B35" s="64" t="s">
        <v>1630</v>
      </c>
      <c r="C35" s="65">
        <v>1.0</v>
      </c>
      <c r="D35" s="66">
        <v>1.0</v>
      </c>
      <c r="E35" s="66">
        <v>1.0</v>
      </c>
      <c r="F35" s="66">
        <v>1.0</v>
      </c>
      <c r="G35" s="66">
        <v>1.0</v>
      </c>
      <c r="H35" s="66">
        <v>1.0</v>
      </c>
      <c r="I35" s="66">
        <v>1.0</v>
      </c>
    </row>
    <row r="69">
      <c r="D69" s="67"/>
    </row>
  </sheetData>
  <mergeCells count="7">
    <mergeCell ref="C2:F2"/>
    <mergeCell ref="G2:I2"/>
    <mergeCell ref="J2:N2"/>
    <mergeCell ref="A29:B30"/>
    <mergeCell ref="C29:F29"/>
    <mergeCell ref="G29:I29"/>
    <mergeCell ref="A31:A3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14"/>
    <col customWidth="1" min="2" max="2" width="36.43"/>
    <col customWidth="1" min="3" max="3" width="55.29"/>
    <col customWidth="1" min="4" max="4" width="37.43"/>
    <col customWidth="1" min="5" max="5" width="14.29"/>
    <col customWidth="1" min="10" max="10" width="38.86"/>
    <col customWidth="1" min="12" max="12" width="19.71"/>
  </cols>
  <sheetData>
    <row r="1" ht="27.75" customHeight="1">
      <c r="A1" s="68" t="s">
        <v>1637</v>
      </c>
      <c r="B1" s="68"/>
      <c r="C1" s="68"/>
      <c r="D1" s="68"/>
      <c r="E1" s="69"/>
      <c r="F1" s="69"/>
      <c r="G1" s="69"/>
      <c r="J1" s="70"/>
      <c r="K1" s="71"/>
      <c r="L1" s="71"/>
      <c r="M1" s="71"/>
      <c r="N1" s="71"/>
      <c r="O1" s="71"/>
      <c r="P1" s="71"/>
      <c r="Q1" s="71"/>
    </row>
    <row r="2" ht="27.75" customHeight="1">
      <c r="A2" s="68"/>
      <c r="B2" s="68"/>
      <c r="C2" s="68"/>
      <c r="D2" s="68"/>
      <c r="E2" s="69"/>
      <c r="F2" s="69"/>
      <c r="G2" s="69"/>
      <c r="J2" s="70"/>
      <c r="K2" s="71"/>
      <c r="L2" s="71"/>
      <c r="M2" s="71"/>
      <c r="N2" s="71"/>
      <c r="O2" s="71"/>
      <c r="P2" s="71"/>
      <c r="Q2" s="71"/>
    </row>
    <row r="3" ht="27.75" customHeight="1">
      <c r="A3" s="68" t="s">
        <v>1638</v>
      </c>
      <c r="B3" s="68" t="s">
        <v>1639</v>
      </c>
      <c r="C3" s="68" t="s">
        <v>1640</v>
      </c>
      <c r="E3" s="69"/>
      <c r="F3" s="69"/>
      <c r="G3" s="69"/>
      <c r="J3" s="16"/>
      <c r="K3" s="17" t="s">
        <v>1628</v>
      </c>
      <c r="L3" s="18"/>
      <c r="M3" s="18"/>
      <c r="N3" s="19"/>
      <c r="O3" s="20" t="s">
        <v>1629</v>
      </c>
      <c r="P3" s="18"/>
      <c r="Q3" s="21"/>
    </row>
    <row r="4">
      <c r="A4" s="72" t="s">
        <v>1641</v>
      </c>
      <c r="B4" s="72" t="s">
        <v>1642</v>
      </c>
      <c r="C4" s="73" t="s">
        <v>1643</v>
      </c>
      <c r="E4" s="72"/>
      <c r="F4" s="72"/>
      <c r="G4" s="72"/>
      <c r="J4" s="22"/>
      <c r="K4" s="23" t="s">
        <v>56</v>
      </c>
      <c r="L4" s="23" t="s">
        <v>296</v>
      </c>
      <c r="M4" s="23" t="s">
        <v>180</v>
      </c>
      <c r="N4" s="24" t="s">
        <v>278</v>
      </c>
      <c r="O4" s="25" t="s">
        <v>149</v>
      </c>
      <c r="P4" s="23" t="s">
        <v>60</v>
      </c>
      <c r="Q4" s="23" t="s">
        <v>1630</v>
      </c>
    </row>
    <row r="5">
      <c r="A5" s="72" t="s">
        <v>115</v>
      </c>
      <c r="B5" s="72" t="s">
        <v>1644</v>
      </c>
      <c r="C5" s="73" t="s">
        <v>1645</v>
      </c>
      <c r="E5" s="72"/>
      <c r="F5" s="72"/>
      <c r="G5" s="72"/>
      <c r="J5" s="30" t="s">
        <v>115</v>
      </c>
      <c r="K5" s="27">
        <v>5.0</v>
      </c>
      <c r="L5" s="27">
        <v>7.0</v>
      </c>
      <c r="M5" s="27">
        <v>3.0</v>
      </c>
      <c r="N5" s="27">
        <v>6.0</v>
      </c>
      <c r="O5" s="27">
        <v>11.0</v>
      </c>
      <c r="P5" s="27">
        <v>10.0</v>
      </c>
      <c r="Q5" s="74">
        <v>21.0</v>
      </c>
    </row>
    <row r="6">
      <c r="A6" s="72" t="s">
        <v>91</v>
      </c>
      <c r="B6" s="72" t="s">
        <v>1646</v>
      </c>
      <c r="C6" s="73" t="s">
        <v>1647</v>
      </c>
      <c r="E6" s="72"/>
      <c r="F6" s="72"/>
      <c r="G6" s="72"/>
      <c r="J6" s="30" t="s">
        <v>151</v>
      </c>
      <c r="K6" s="27">
        <v>5.0</v>
      </c>
      <c r="L6" s="27">
        <v>4.0</v>
      </c>
      <c r="M6" s="27">
        <v>3.0</v>
      </c>
      <c r="N6" s="27">
        <v>4.0</v>
      </c>
      <c r="O6" s="27">
        <v>9.0</v>
      </c>
      <c r="P6" s="27">
        <v>7.0</v>
      </c>
      <c r="Q6" s="74">
        <v>16.0</v>
      </c>
    </row>
    <row r="7">
      <c r="A7" s="72" t="s">
        <v>248</v>
      </c>
      <c r="B7" s="72" t="s">
        <v>1648</v>
      </c>
      <c r="C7" s="73" t="s">
        <v>1649</v>
      </c>
      <c r="E7" s="72"/>
      <c r="F7" s="72"/>
      <c r="G7" s="72"/>
      <c r="J7" s="30" t="s">
        <v>65</v>
      </c>
      <c r="K7" s="27">
        <v>8.0</v>
      </c>
      <c r="L7" s="27">
        <v>0.0</v>
      </c>
      <c r="M7" s="27">
        <v>6.0</v>
      </c>
      <c r="N7" s="27">
        <v>2.0</v>
      </c>
      <c r="O7" s="27">
        <v>0.0</v>
      </c>
      <c r="P7" s="27">
        <v>16.0</v>
      </c>
      <c r="Q7" s="74">
        <v>16.0</v>
      </c>
    </row>
    <row r="8">
      <c r="A8" s="72" t="s">
        <v>1650</v>
      </c>
      <c r="B8" s="72" t="s">
        <v>1651</v>
      </c>
      <c r="C8" s="73" t="s">
        <v>1652</v>
      </c>
      <c r="E8" s="72"/>
      <c r="F8" s="72"/>
      <c r="G8" s="72"/>
      <c r="J8" s="30" t="s">
        <v>91</v>
      </c>
      <c r="K8" s="27">
        <v>5.0</v>
      </c>
      <c r="L8" s="27">
        <v>3.0</v>
      </c>
      <c r="M8" s="27">
        <v>3.0</v>
      </c>
      <c r="N8" s="27">
        <v>5.0</v>
      </c>
      <c r="O8" s="27">
        <v>8.0</v>
      </c>
      <c r="P8" s="27">
        <v>8.0</v>
      </c>
      <c r="Q8" s="74">
        <v>16.0</v>
      </c>
    </row>
    <row r="9">
      <c r="A9" s="72" t="s">
        <v>65</v>
      </c>
      <c r="B9" s="72" t="s">
        <v>1653</v>
      </c>
      <c r="C9" s="73" t="s">
        <v>1654</v>
      </c>
      <c r="E9" s="72"/>
      <c r="F9" s="72"/>
      <c r="G9" s="72"/>
      <c r="J9" s="30" t="s">
        <v>248</v>
      </c>
      <c r="K9" s="27">
        <v>4.0</v>
      </c>
      <c r="L9" s="27">
        <v>4.0</v>
      </c>
      <c r="M9" s="27">
        <v>2.0</v>
      </c>
      <c r="N9" s="27">
        <v>3.0</v>
      </c>
      <c r="O9" s="27">
        <v>6.0</v>
      </c>
      <c r="P9" s="27">
        <v>7.0</v>
      </c>
      <c r="Q9" s="74">
        <v>13.0</v>
      </c>
    </row>
    <row r="10">
      <c r="A10" s="72" t="s">
        <v>450</v>
      </c>
      <c r="B10" s="72" t="s">
        <v>1655</v>
      </c>
      <c r="C10" s="73" t="s">
        <v>1656</v>
      </c>
      <c r="E10" s="72"/>
      <c r="F10" s="72"/>
      <c r="G10" s="72"/>
      <c r="J10" s="30" t="s">
        <v>450</v>
      </c>
      <c r="K10" s="27">
        <v>2.0</v>
      </c>
      <c r="L10" s="27">
        <v>6.0</v>
      </c>
      <c r="M10" s="27">
        <v>1.0</v>
      </c>
      <c r="N10" s="27">
        <v>3.0</v>
      </c>
      <c r="O10" s="27">
        <v>8.0</v>
      </c>
      <c r="P10" s="27">
        <v>4.0</v>
      </c>
      <c r="Q10" s="74">
        <v>12.0</v>
      </c>
    </row>
    <row r="11">
      <c r="A11" s="72" t="s">
        <v>135</v>
      </c>
      <c r="B11" s="72" t="s">
        <v>1657</v>
      </c>
      <c r="C11" s="73" t="s">
        <v>1658</v>
      </c>
      <c r="E11" s="72"/>
      <c r="F11" s="72"/>
      <c r="G11" s="72"/>
      <c r="J11" s="30" t="s">
        <v>135</v>
      </c>
      <c r="K11" s="27">
        <v>4.0</v>
      </c>
      <c r="L11" s="27">
        <v>1.0</v>
      </c>
      <c r="M11" s="27">
        <v>3.0</v>
      </c>
      <c r="N11" s="27">
        <v>3.0</v>
      </c>
      <c r="O11" s="27">
        <v>1.0</v>
      </c>
      <c r="P11" s="27">
        <v>10.0</v>
      </c>
      <c r="Q11" s="74">
        <v>11.0</v>
      </c>
    </row>
    <row r="12">
      <c r="A12" s="72" t="s">
        <v>387</v>
      </c>
      <c r="B12" s="72" t="s">
        <v>1659</v>
      </c>
      <c r="C12" s="73" t="s">
        <v>1660</v>
      </c>
      <c r="E12" s="72"/>
      <c r="F12" s="72"/>
      <c r="G12" s="72"/>
      <c r="J12" s="30" t="s">
        <v>337</v>
      </c>
      <c r="K12" s="27">
        <v>2.0</v>
      </c>
      <c r="L12" s="27">
        <v>4.0</v>
      </c>
      <c r="M12" s="27">
        <v>2.0</v>
      </c>
      <c r="N12" s="27">
        <v>3.0</v>
      </c>
      <c r="O12" s="27">
        <v>6.0</v>
      </c>
      <c r="P12" s="27">
        <v>5.0</v>
      </c>
      <c r="Q12" s="74">
        <v>11.0</v>
      </c>
    </row>
    <row r="13">
      <c r="A13" s="72" t="s">
        <v>771</v>
      </c>
      <c r="B13" s="72" t="s">
        <v>1661</v>
      </c>
      <c r="C13" s="73" t="s">
        <v>1662</v>
      </c>
      <c r="E13" s="72"/>
      <c r="F13" s="72"/>
      <c r="G13" s="72"/>
      <c r="J13" s="30" t="s">
        <v>771</v>
      </c>
      <c r="K13" s="27">
        <v>2.0</v>
      </c>
      <c r="L13" s="27">
        <v>2.0</v>
      </c>
      <c r="M13" s="27">
        <v>1.0</v>
      </c>
      <c r="N13" s="27">
        <v>1.0</v>
      </c>
      <c r="O13" s="27">
        <v>3.0</v>
      </c>
      <c r="P13" s="27">
        <v>3.0</v>
      </c>
      <c r="Q13" s="74">
        <v>6.0</v>
      </c>
    </row>
    <row r="14">
      <c r="A14" s="72" t="s">
        <v>533</v>
      </c>
      <c r="B14" s="72" t="s">
        <v>1663</v>
      </c>
      <c r="C14" s="73" t="s">
        <v>1664</v>
      </c>
      <c r="E14" s="72"/>
      <c r="F14" s="72"/>
      <c r="G14" s="72"/>
      <c r="J14" s="30" t="s">
        <v>387</v>
      </c>
      <c r="K14" s="27">
        <v>1.0</v>
      </c>
      <c r="L14" s="27">
        <v>0.0</v>
      </c>
      <c r="M14" s="27">
        <v>3.0</v>
      </c>
      <c r="N14" s="27">
        <v>1.0</v>
      </c>
      <c r="O14" s="27">
        <v>0.0</v>
      </c>
      <c r="P14" s="27">
        <v>5.0</v>
      </c>
      <c r="Q14" s="74">
        <v>5.0</v>
      </c>
    </row>
    <row r="15">
      <c r="A15" s="72" t="s">
        <v>337</v>
      </c>
      <c r="B15" s="72" t="s">
        <v>1665</v>
      </c>
      <c r="C15" s="73" t="s">
        <v>1666</v>
      </c>
      <c r="E15" s="72"/>
      <c r="F15" s="72"/>
      <c r="G15" s="72"/>
      <c r="J15" s="30" t="s">
        <v>399</v>
      </c>
      <c r="K15" s="27">
        <v>0.0</v>
      </c>
      <c r="L15" s="27">
        <v>0.0</v>
      </c>
      <c r="M15" s="27">
        <v>3.0</v>
      </c>
      <c r="N15" s="27">
        <v>1.0</v>
      </c>
      <c r="O15" s="27">
        <v>1.0</v>
      </c>
      <c r="P15" s="27">
        <v>3.0</v>
      </c>
      <c r="Q15" s="74">
        <v>4.0</v>
      </c>
    </row>
    <row r="16">
      <c r="J16" s="30" t="s">
        <v>533</v>
      </c>
      <c r="K16" s="27">
        <v>0.0</v>
      </c>
      <c r="L16" s="27">
        <v>3.0</v>
      </c>
      <c r="M16" s="27">
        <v>0.0</v>
      </c>
      <c r="N16" s="27">
        <v>1.0</v>
      </c>
      <c r="O16" s="27">
        <v>3.0</v>
      </c>
      <c r="P16" s="27">
        <v>1.0</v>
      </c>
      <c r="Q16" s="74">
        <v>4.0</v>
      </c>
    </row>
    <row r="17">
      <c r="J17" s="23" t="s">
        <v>1630</v>
      </c>
      <c r="K17" s="23">
        <v>38.0</v>
      </c>
      <c r="L17" s="23">
        <v>34.0</v>
      </c>
      <c r="M17" s="23">
        <v>30.0</v>
      </c>
      <c r="N17" s="23">
        <v>33.0</v>
      </c>
      <c r="O17" s="23">
        <v>56.0</v>
      </c>
      <c r="P17" s="23">
        <v>79.0</v>
      </c>
      <c r="Q17" s="23">
        <v>135.0</v>
      </c>
    </row>
    <row r="19">
      <c r="A19" s="75" t="s">
        <v>1667</v>
      </c>
      <c r="B19" s="75"/>
      <c r="C19" s="75"/>
      <c r="D19" s="75"/>
      <c r="E19" s="75"/>
      <c r="F19" s="75"/>
      <c r="G19" s="75"/>
      <c r="H19" s="75"/>
      <c r="I19" s="75"/>
      <c r="J19" s="16"/>
      <c r="K19" s="17" t="s">
        <v>1628</v>
      </c>
      <c r="L19" s="18"/>
      <c r="M19" s="18"/>
      <c r="N19" s="19"/>
      <c r="O19" s="20" t="s">
        <v>1629</v>
      </c>
      <c r="P19" s="18"/>
      <c r="Q19" s="21"/>
    </row>
    <row r="20">
      <c r="A20" s="76"/>
      <c r="B20" s="77"/>
      <c r="C20" s="78"/>
      <c r="J20" s="22"/>
      <c r="K20" s="23" t="s">
        <v>56</v>
      </c>
      <c r="L20" s="23" t="s">
        <v>296</v>
      </c>
      <c r="M20" s="23" t="s">
        <v>180</v>
      </c>
      <c r="N20" s="24" t="s">
        <v>278</v>
      </c>
      <c r="O20" s="25" t="s">
        <v>149</v>
      </c>
      <c r="P20" s="23" t="s">
        <v>60</v>
      </c>
      <c r="Q20" s="23" t="s">
        <v>1630</v>
      </c>
    </row>
    <row r="21">
      <c r="A21" s="78"/>
      <c r="B21" s="78"/>
      <c r="C21" s="78"/>
      <c r="J21" s="79" t="s">
        <v>115</v>
      </c>
      <c r="K21" s="80">
        <v>5.0</v>
      </c>
      <c r="L21" s="80">
        <v>7.0</v>
      </c>
      <c r="M21" s="80">
        <v>3.0</v>
      </c>
      <c r="N21" s="80">
        <v>6.0</v>
      </c>
      <c r="O21" s="80">
        <v>11.0</v>
      </c>
      <c r="P21" s="80">
        <v>10.0</v>
      </c>
      <c r="Q21" s="80">
        <v>21.0</v>
      </c>
    </row>
    <row r="22">
      <c r="A22" s="81" t="s">
        <v>1668</v>
      </c>
      <c r="B22" s="81" t="s">
        <v>1669</v>
      </c>
      <c r="C22" s="81" t="s">
        <v>1670</v>
      </c>
      <c r="J22" s="82" t="s">
        <v>209</v>
      </c>
      <c r="K22" s="83">
        <v>2.0</v>
      </c>
      <c r="L22" s="83">
        <v>7.0</v>
      </c>
      <c r="M22" s="83">
        <v>2.0</v>
      </c>
      <c r="N22" s="83">
        <v>4.0</v>
      </c>
      <c r="O22" s="83">
        <v>11.0</v>
      </c>
      <c r="P22" s="83">
        <v>4.0</v>
      </c>
      <c r="Q22" s="83">
        <v>15.0</v>
      </c>
    </row>
    <row r="23">
      <c r="A23" s="77" t="s">
        <v>438</v>
      </c>
      <c r="B23" s="77" t="s">
        <v>1671</v>
      </c>
      <c r="C23" s="77" t="s">
        <v>584</v>
      </c>
      <c r="J23" s="84" t="s">
        <v>116</v>
      </c>
      <c r="K23" s="83">
        <v>3.0</v>
      </c>
      <c r="L23" s="83">
        <v>0.0</v>
      </c>
      <c r="M23" s="83">
        <v>1.0</v>
      </c>
      <c r="N23" s="83">
        <v>2.0</v>
      </c>
      <c r="O23" s="83">
        <v>0.0</v>
      </c>
      <c r="P23" s="83">
        <v>6.0</v>
      </c>
      <c r="Q23" s="83">
        <v>6.0</v>
      </c>
    </row>
    <row r="24">
      <c r="A24" s="77" t="s">
        <v>300</v>
      </c>
      <c r="B24" s="77" t="s">
        <v>1672</v>
      </c>
      <c r="C24" s="77" t="s">
        <v>1673</v>
      </c>
      <c r="J24" s="85" t="s">
        <v>1674</v>
      </c>
      <c r="K24" s="85">
        <v>5.0</v>
      </c>
      <c r="L24" s="85">
        <v>7.0</v>
      </c>
      <c r="M24" s="85">
        <v>3.0</v>
      </c>
      <c r="N24" s="85">
        <v>6.0</v>
      </c>
      <c r="O24" s="85">
        <v>11.0</v>
      </c>
      <c r="P24" s="85">
        <v>10.0</v>
      </c>
      <c r="Q24" s="85">
        <v>21.0</v>
      </c>
    </row>
    <row r="25">
      <c r="A25" s="77" t="s">
        <v>152</v>
      </c>
      <c r="B25" s="77" t="s">
        <v>1675</v>
      </c>
      <c r="C25" s="77" t="s">
        <v>1676</v>
      </c>
      <c r="J25" s="86" t="s">
        <v>151</v>
      </c>
      <c r="K25" s="87">
        <v>5.0</v>
      </c>
      <c r="L25" s="87">
        <v>4.0</v>
      </c>
      <c r="M25" s="87">
        <v>3.0</v>
      </c>
      <c r="N25" s="87">
        <v>4.0</v>
      </c>
      <c r="O25" s="87">
        <v>9.0</v>
      </c>
      <c r="P25" s="87">
        <v>7.0</v>
      </c>
      <c r="Q25" s="87">
        <v>16.0</v>
      </c>
    </row>
    <row r="26">
      <c r="A26" s="78"/>
      <c r="B26" s="78"/>
      <c r="C26" s="78"/>
      <c r="J26" s="88" t="s">
        <v>438</v>
      </c>
      <c r="K26" s="83">
        <v>2.0</v>
      </c>
      <c r="L26" s="83">
        <v>2.0</v>
      </c>
      <c r="M26" s="83">
        <v>2.0</v>
      </c>
      <c r="N26" s="83">
        <v>1.0</v>
      </c>
      <c r="O26" s="83">
        <v>2.0</v>
      </c>
      <c r="P26" s="83">
        <v>5.0</v>
      </c>
      <c r="Q26" s="83">
        <v>7.0</v>
      </c>
    </row>
    <row r="27">
      <c r="A27" s="78"/>
      <c r="B27" s="78"/>
      <c r="C27" s="78"/>
      <c r="J27" s="82" t="s">
        <v>300</v>
      </c>
      <c r="K27" s="83">
        <v>2.0</v>
      </c>
      <c r="L27" s="83">
        <v>2.0</v>
      </c>
      <c r="M27" s="83">
        <v>0.0</v>
      </c>
      <c r="N27" s="83">
        <v>1.0</v>
      </c>
      <c r="O27" s="83">
        <v>4.0</v>
      </c>
      <c r="P27" s="83">
        <v>1.0</v>
      </c>
      <c r="Q27" s="83">
        <v>5.0</v>
      </c>
    </row>
    <row r="28">
      <c r="A28" s="75" t="s">
        <v>115</v>
      </c>
      <c r="J28" s="89" t="s">
        <v>152</v>
      </c>
      <c r="K28" s="83">
        <v>1.0</v>
      </c>
      <c r="L28" s="83">
        <v>0.0</v>
      </c>
      <c r="M28" s="83">
        <v>1.0</v>
      </c>
      <c r="N28" s="83">
        <v>2.0</v>
      </c>
      <c r="O28" s="83">
        <v>3.0</v>
      </c>
      <c r="P28" s="83">
        <v>1.0</v>
      </c>
      <c r="Q28" s="83">
        <v>4.0</v>
      </c>
    </row>
    <row r="29">
      <c r="A29" s="76"/>
      <c r="B29" s="77"/>
      <c r="C29" s="78"/>
      <c r="J29" s="85" t="s">
        <v>1674</v>
      </c>
      <c r="K29" s="85">
        <v>5.0</v>
      </c>
      <c r="L29" s="85">
        <v>4.0</v>
      </c>
      <c r="M29" s="85">
        <v>3.0</v>
      </c>
      <c r="N29" s="85">
        <v>4.0</v>
      </c>
      <c r="O29" s="85">
        <v>9.0</v>
      </c>
      <c r="P29" s="85">
        <v>7.0</v>
      </c>
      <c r="Q29" s="85">
        <v>16.0</v>
      </c>
    </row>
    <row r="30">
      <c r="A30" s="78"/>
      <c r="B30" s="78"/>
      <c r="C30" s="78"/>
      <c r="J30" s="86" t="s">
        <v>65</v>
      </c>
      <c r="K30" s="87">
        <v>8.0</v>
      </c>
      <c r="L30" s="87">
        <v>0.0</v>
      </c>
      <c r="M30" s="87">
        <v>6.0</v>
      </c>
      <c r="N30" s="87">
        <v>2.0</v>
      </c>
      <c r="O30" s="87">
        <v>0.0</v>
      </c>
      <c r="P30" s="87">
        <v>16.0</v>
      </c>
      <c r="Q30" s="87">
        <v>16.0</v>
      </c>
    </row>
    <row r="31">
      <c r="A31" s="81" t="s">
        <v>1668</v>
      </c>
      <c r="B31" s="81" t="s">
        <v>1669</v>
      </c>
      <c r="C31" s="81" t="s">
        <v>1670</v>
      </c>
      <c r="J31" s="84" t="s">
        <v>264</v>
      </c>
      <c r="K31" s="83">
        <v>3.0</v>
      </c>
      <c r="L31" s="83">
        <v>0.0</v>
      </c>
      <c r="M31" s="83">
        <v>4.0</v>
      </c>
      <c r="N31" s="83">
        <v>0.0</v>
      </c>
      <c r="O31" s="83">
        <v>0.0</v>
      </c>
      <c r="P31" s="83">
        <v>7.0</v>
      </c>
      <c r="Q31" s="83">
        <v>7.0</v>
      </c>
    </row>
    <row r="32">
      <c r="A32" s="77" t="s">
        <v>116</v>
      </c>
      <c r="B32" s="77" t="s">
        <v>1677</v>
      </c>
      <c r="C32" s="77" t="s">
        <v>1678</v>
      </c>
      <c r="J32" s="88" t="s">
        <v>324</v>
      </c>
      <c r="K32" s="83">
        <v>4.0</v>
      </c>
      <c r="L32" s="83">
        <v>0.0</v>
      </c>
      <c r="M32" s="83">
        <v>2.0</v>
      </c>
      <c r="N32" s="83">
        <v>1.0</v>
      </c>
      <c r="O32" s="83">
        <v>0.0</v>
      </c>
      <c r="P32" s="83">
        <v>7.0</v>
      </c>
      <c r="Q32" s="83">
        <v>7.0</v>
      </c>
    </row>
    <row r="33">
      <c r="A33" s="77" t="s">
        <v>209</v>
      </c>
      <c r="B33" s="77" t="s">
        <v>1679</v>
      </c>
      <c r="C33" s="77" t="s">
        <v>1680</v>
      </c>
      <c r="J33" s="82" t="s">
        <v>66</v>
      </c>
      <c r="K33" s="83">
        <v>1.0</v>
      </c>
      <c r="L33" s="83">
        <v>0.0</v>
      </c>
      <c r="M33" s="83">
        <v>0.0</v>
      </c>
      <c r="N33" s="83">
        <v>0.0</v>
      </c>
      <c r="O33" s="83">
        <v>0.0</v>
      </c>
      <c r="P33" s="83">
        <v>1.0</v>
      </c>
      <c r="Q33" s="83">
        <v>1.0</v>
      </c>
    </row>
    <row r="34">
      <c r="A34" s="77" t="s">
        <v>1681</v>
      </c>
      <c r="B34" s="77" t="s">
        <v>1682</v>
      </c>
      <c r="C34" s="77" t="s">
        <v>1683</v>
      </c>
      <c r="J34" s="82" t="s">
        <v>1187</v>
      </c>
      <c r="K34" s="83">
        <v>0.0</v>
      </c>
      <c r="L34" s="83">
        <v>0.0</v>
      </c>
      <c r="M34" s="83">
        <v>0.0</v>
      </c>
      <c r="N34" s="83">
        <v>1.0</v>
      </c>
      <c r="O34" s="83">
        <v>0.0</v>
      </c>
      <c r="P34" s="83">
        <v>1.0</v>
      </c>
      <c r="Q34" s="83">
        <v>1.0</v>
      </c>
    </row>
    <row r="35">
      <c r="A35" s="78"/>
      <c r="B35" s="78"/>
      <c r="C35" s="78"/>
      <c r="J35" s="85" t="s">
        <v>1674</v>
      </c>
      <c r="K35" s="85">
        <v>8.0</v>
      </c>
      <c r="L35" s="85">
        <v>0.0</v>
      </c>
      <c r="M35" s="85">
        <v>6.0</v>
      </c>
      <c r="N35" s="85">
        <v>2.0</v>
      </c>
      <c r="O35" s="85">
        <v>0.0</v>
      </c>
      <c r="P35" s="85">
        <v>16.0</v>
      </c>
      <c r="Q35" s="85">
        <v>16.0</v>
      </c>
    </row>
    <row r="36">
      <c r="A36" s="78"/>
      <c r="B36" s="78"/>
      <c r="C36" s="78"/>
      <c r="J36" s="86" t="s">
        <v>91</v>
      </c>
      <c r="K36" s="87">
        <v>5.0</v>
      </c>
      <c r="L36" s="87">
        <v>3.0</v>
      </c>
      <c r="M36" s="87">
        <v>3.0</v>
      </c>
      <c r="N36" s="87">
        <v>5.0</v>
      </c>
      <c r="O36" s="87">
        <v>8.0</v>
      </c>
      <c r="P36" s="87">
        <v>8.0</v>
      </c>
      <c r="Q36" s="87">
        <v>16.0</v>
      </c>
    </row>
    <row r="37">
      <c r="A37" s="75" t="s">
        <v>91</v>
      </c>
      <c r="J37" s="82" t="s">
        <v>661</v>
      </c>
      <c r="K37" s="83">
        <v>1.0</v>
      </c>
      <c r="L37" s="83">
        <v>1.0</v>
      </c>
      <c r="M37" s="83">
        <v>1.0</v>
      </c>
      <c r="N37" s="83">
        <v>3.0</v>
      </c>
      <c r="O37" s="83">
        <v>5.0</v>
      </c>
      <c r="P37" s="83">
        <v>1.0</v>
      </c>
      <c r="Q37" s="83">
        <v>6.0</v>
      </c>
    </row>
    <row r="38">
      <c r="A38" s="76"/>
      <c r="B38" s="77"/>
      <c r="C38" s="78"/>
      <c r="J38" s="82" t="s">
        <v>192</v>
      </c>
      <c r="K38" s="83">
        <v>1.0</v>
      </c>
      <c r="L38" s="83">
        <v>2.0</v>
      </c>
      <c r="M38" s="83">
        <v>2.0</v>
      </c>
      <c r="N38" s="83">
        <v>1.0</v>
      </c>
      <c r="O38" s="83">
        <v>2.0</v>
      </c>
      <c r="P38" s="83">
        <v>4.0</v>
      </c>
      <c r="Q38" s="83">
        <v>6.0</v>
      </c>
    </row>
    <row r="39">
      <c r="A39" s="78"/>
      <c r="B39" s="78"/>
      <c r="C39" s="78"/>
      <c r="J39" s="82" t="s">
        <v>92</v>
      </c>
      <c r="K39" s="83">
        <v>3.0</v>
      </c>
      <c r="L39" s="83">
        <v>0.0</v>
      </c>
      <c r="M39" s="83">
        <v>0.0</v>
      </c>
      <c r="N39" s="83">
        <v>0.0</v>
      </c>
      <c r="O39" s="83">
        <v>1.0</v>
      </c>
      <c r="P39" s="83">
        <v>2.0</v>
      </c>
      <c r="Q39" s="83">
        <v>3.0</v>
      </c>
    </row>
    <row r="40">
      <c r="A40" s="81" t="s">
        <v>1668</v>
      </c>
      <c r="B40" s="81" t="s">
        <v>1669</v>
      </c>
      <c r="C40" s="81" t="s">
        <v>1670</v>
      </c>
      <c r="J40" s="84" t="s">
        <v>572</v>
      </c>
      <c r="K40" s="83">
        <v>0.0</v>
      </c>
      <c r="L40" s="83">
        <v>0.0</v>
      </c>
      <c r="M40" s="83">
        <v>0.0</v>
      </c>
      <c r="N40" s="83">
        <v>1.0</v>
      </c>
      <c r="O40" s="83">
        <v>0.0</v>
      </c>
      <c r="P40" s="83">
        <v>1.0</v>
      </c>
      <c r="Q40" s="83">
        <v>1.0</v>
      </c>
    </row>
    <row r="41">
      <c r="A41" s="77" t="s">
        <v>192</v>
      </c>
      <c r="B41" s="77" t="s">
        <v>1684</v>
      </c>
      <c r="C41" s="77" t="s">
        <v>312</v>
      </c>
      <c r="J41" s="23" t="s">
        <v>1674</v>
      </c>
      <c r="K41" s="23">
        <v>5.0</v>
      </c>
      <c r="L41" s="23">
        <v>3.0</v>
      </c>
      <c r="M41" s="23">
        <v>3.0</v>
      </c>
      <c r="N41" s="23">
        <v>5.0</v>
      </c>
      <c r="O41" s="23">
        <v>8.0</v>
      </c>
      <c r="P41" s="23">
        <v>8.0</v>
      </c>
      <c r="Q41" s="23">
        <v>16.0</v>
      </c>
    </row>
    <row r="42">
      <c r="A42" s="77" t="s">
        <v>661</v>
      </c>
      <c r="B42" s="77" t="s">
        <v>1685</v>
      </c>
      <c r="C42" s="77" t="s">
        <v>1686</v>
      </c>
      <c r="J42" s="79" t="s">
        <v>248</v>
      </c>
      <c r="K42" s="80">
        <v>4.0</v>
      </c>
      <c r="L42" s="80">
        <v>4.0</v>
      </c>
      <c r="M42" s="80">
        <v>2.0</v>
      </c>
      <c r="N42" s="80">
        <v>3.0</v>
      </c>
      <c r="O42" s="80">
        <v>6.0</v>
      </c>
      <c r="P42" s="80">
        <v>7.0</v>
      </c>
      <c r="Q42" s="80">
        <v>13.0</v>
      </c>
    </row>
    <row r="43">
      <c r="A43" s="77" t="s">
        <v>92</v>
      </c>
      <c r="B43" s="77" t="s">
        <v>1687</v>
      </c>
      <c r="C43" s="77" t="s">
        <v>1688</v>
      </c>
      <c r="J43" s="82" t="s">
        <v>249</v>
      </c>
      <c r="K43" s="83">
        <v>1.0</v>
      </c>
      <c r="L43" s="83">
        <v>0.0</v>
      </c>
      <c r="M43" s="83">
        <v>0.0</v>
      </c>
      <c r="N43" s="83">
        <v>2.0</v>
      </c>
      <c r="O43" s="83">
        <v>2.0</v>
      </c>
      <c r="P43" s="83">
        <v>1.0</v>
      </c>
      <c r="Q43" s="83">
        <v>3.0</v>
      </c>
    </row>
    <row r="44">
      <c r="A44" s="77" t="s">
        <v>572</v>
      </c>
      <c r="B44" s="77" t="s">
        <v>1689</v>
      </c>
      <c r="C44" s="77" t="s">
        <v>1690</v>
      </c>
      <c r="J44" s="82" t="s">
        <v>560</v>
      </c>
      <c r="K44" s="83">
        <v>1.0</v>
      </c>
      <c r="L44" s="83">
        <v>1.0</v>
      </c>
      <c r="M44" s="83">
        <v>1.0</v>
      </c>
      <c r="N44" s="83">
        <v>0.0</v>
      </c>
      <c r="O44" s="83">
        <v>1.0</v>
      </c>
      <c r="P44" s="83">
        <v>2.0</v>
      </c>
      <c r="Q44" s="83">
        <v>3.0</v>
      </c>
    </row>
    <row r="45">
      <c r="A45" s="78"/>
      <c r="B45" s="78"/>
      <c r="C45" s="78"/>
      <c r="J45" s="90" t="s">
        <v>784</v>
      </c>
      <c r="K45" s="91">
        <v>1.0</v>
      </c>
      <c r="L45" s="91">
        <v>3.0</v>
      </c>
      <c r="M45" s="91">
        <v>1.0</v>
      </c>
      <c r="N45" s="91">
        <v>1.0</v>
      </c>
      <c r="O45" s="91">
        <v>3.0</v>
      </c>
      <c r="P45" s="91">
        <v>3.0</v>
      </c>
      <c r="Q45" s="91">
        <v>6.0</v>
      </c>
    </row>
    <row r="46">
      <c r="A46" s="78"/>
      <c r="B46" s="78"/>
      <c r="C46" s="78"/>
      <c r="J46" s="84" t="s">
        <v>1486</v>
      </c>
      <c r="K46" s="83">
        <v>1.0</v>
      </c>
      <c r="L46" s="83">
        <v>0.0</v>
      </c>
      <c r="M46" s="83">
        <v>0.0</v>
      </c>
      <c r="N46" s="83">
        <v>0.0</v>
      </c>
      <c r="O46" s="83">
        <v>0.0</v>
      </c>
      <c r="P46" s="83">
        <v>1.0</v>
      </c>
      <c r="Q46" s="83">
        <v>1.0</v>
      </c>
    </row>
    <row r="47">
      <c r="A47" s="75" t="s">
        <v>248</v>
      </c>
      <c r="J47" s="85" t="s">
        <v>1674</v>
      </c>
      <c r="K47" s="85">
        <v>4.0</v>
      </c>
      <c r="L47" s="85">
        <v>4.0</v>
      </c>
      <c r="M47" s="85">
        <v>2.0</v>
      </c>
      <c r="N47" s="85">
        <v>3.0</v>
      </c>
      <c r="O47" s="85">
        <v>6.0</v>
      </c>
      <c r="P47" s="85">
        <v>7.0</v>
      </c>
      <c r="Q47" s="85">
        <v>13.0</v>
      </c>
    </row>
    <row r="48">
      <c r="A48" s="76"/>
      <c r="B48" s="77"/>
      <c r="C48" s="78"/>
      <c r="J48" s="79" t="s">
        <v>450</v>
      </c>
      <c r="K48" s="80">
        <v>2.0</v>
      </c>
      <c r="L48" s="80">
        <v>6.0</v>
      </c>
      <c r="M48" s="80">
        <v>1.0</v>
      </c>
      <c r="N48" s="80">
        <v>3.0</v>
      </c>
      <c r="O48" s="80">
        <v>8.0</v>
      </c>
      <c r="P48" s="80">
        <v>4.0</v>
      </c>
      <c r="Q48" s="80">
        <v>12.0</v>
      </c>
    </row>
    <row r="49">
      <c r="A49" s="78"/>
      <c r="B49" s="78"/>
      <c r="C49" s="78"/>
      <c r="J49" s="92" t="s">
        <v>547</v>
      </c>
      <c r="K49" s="83">
        <v>0.0</v>
      </c>
      <c r="L49" s="83">
        <v>4.0</v>
      </c>
      <c r="M49" s="83">
        <v>0.0</v>
      </c>
      <c r="N49" s="83">
        <v>1.0</v>
      </c>
      <c r="O49" s="83">
        <v>5.0</v>
      </c>
      <c r="P49" s="83">
        <v>0.0</v>
      </c>
      <c r="Q49" s="83">
        <v>5.0</v>
      </c>
    </row>
    <row r="50">
      <c r="A50" s="81" t="s">
        <v>1668</v>
      </c>
      <c r="B50" s="81" t="s">
        <v>1669</v>
      </c>
      <c r="C50" s="81" t="s">
        <v>1670</v>
      </c>
      <c r="J50" s="93" t="s">
        <v>451</v>
      </c>
      <c r="K50" s="91">
        <v>1.0</v>
      </c>
      <c r="L50" s="91">
        <v>2.0</v>
      </c>
      <c r="M50" s="91">
        <v>1.0</v>
      </c>
      <c r="N50" s="91">
        <v>0.0</v>
      </c>
      <c r="O50" s="91">
        <v>3.0</v>
      </c>
      <c r="P50" s="91">
        <v>1.0</v>
      </c>
      <c r="Q50" s="91">
        <v>4.0</v>
      </c>
    </row>
    <row r="51">
      <c r="A51" s="77" t="s">
        <v>1486</v>
      </c>
      <c r="B51" s="77" t="s">
        <v>1691</v>
      </c>
      <c r="C51" s="77" t="s">
        <v>1692</v>
      </c>
      <c r="J51" s="92" t="s">
        <v>723</v>
      </c>
      <c r="K51" s="83">
        <v>1.0</v>
      </c>
      <c r="L51" s="83">
        <v>0.0</v>
      </c>
      <c r="M51" s="83">
        <v>0.0</v>
      </c>
      <c r="N51" s="83">
        <v>2.0</v>
      </c>
      <c r="O51" s="83">
        <v>0.0</v>
      </c>
      <c r="P51" s="83">
        <v>3.0</v>
      </c>
      <c r="Q51" s="83">
        <v>3.0</v>
      </c>
    </row>
    <row r="52">
      <c r="A52" s="77" t="s">
        <v>784</v>
      </c>
      <c r="B52" s="77" t="s">
        <v>1693</v>
      </c>
      <c r="C52" s="77" t="s">
        <v>1694</v>
      </c>
      <c r="J52" s="85" t="s">
        <v>1674</v>
      </c>
      <c r="K52" s="85">
        <v>2.0</v>
      </c>
      <c r="L52" s="85">
        <v>6.0</v>
      </c>
      <c r="M52" s="85">
        <v>1.0</v>
      </c>
      <c r="N52" s="85">
        <v>3.0</v>
      </c>
      <c r="O52" s="85">
        <v>8.0</v>
      </c>
      <c r="P52" s="85">
        <v>4.0</v>
      </c>
      <c r="Q52" s="85">
        <v>12.0</v>
      </c>
    </row>
    <row r="53">
      <c r="A53" s="77" t="s">
        <v>560</v>
      </c>
      <c r="B53" s="77" t="s">
        <v>1695</v>
      </c>
      <c r="C53" s="77" t="s">
        <v>557</v>
      </c>
      <c r="J53" s="79" t="s">
        <v>135</v>
      </c>
      <c r="K53" s="80">
        <v>4.0</v>
      </c>
      <c r="L53" s="80">
        <v>1.0</v>
      </c>
      <c r="M53" s="80">
        <v>3.0</v>
      </c>
      <c r="N53" s="80">
        <v>3.0</v>
      </c>
      <c r="O53" s="80">
        <v>1.0</v>
      </c>
      <c r="P53" s="80">
        <v>10.0</v>
      </c>
      <c r="Q53" s="80">
        <v>11.0</v>
      </c>
    </row>
    <row r="54">
      <c r="A54" s="77" t="s">
        <v>249</v>
      </c>
      <c r="B54" s="77" t="s">
        <v>1696</v>
      </c>
      <c r="C54" s="77" t="s">
        <v>1697</v>
      </c>
      <c r="J54" s="89" t="s">
        <v>136</v>
      </c>
      <c r="K54" s="83">
        <v>3.0</v>
      </c>
      <c r="L54" s="83">
        <v>1.0</v>
      </c>
      <c r="M54" s="83">
        <v>3.0</v>
      </c>
      <c r="N54" s="83">
        <v>0.0</v>
      </c>
      <c r="O54" s="83">
        <v>1.0</v>
      </c>
      <c r="P54" s="83">
        <v>6.0</v>
      </c>
      <c r="Q54" s="83">
        <v>7.0</v>
      </c>
    </row>
    <row r="55">
      <c r="A55" s="78"/>
      <c r="B55" s="78"/>
      <c r="C55" s="78"/>
      <c r="J55" s="90" t="s">
        <v>411</v>
      </c>
      <c r="K55" s="91">
        <v>0.0</v>
      </c>
      <c r="L55" s="91">
        <v>0.0</v>
      </c>
      <c r="M55" s="91">
        <v>0.0</v>
      </c>
      <c r="N55" s="91">
        <v>2.0</v>
      </c>
      <c r="O55" s="91">
        <v>0.0</v>
      </c>
      <c r="P55" s="91">
        <v>2.0</v>
      </c>
      <c r="Q55" s="91">
        <v>2.0</v>
      </c>
    </row>
    <row r="56">
      <c r="A56" s="78"/>
      <c r="B56" s="78"/>
      <c r="C56" s="78"/>
      <c r="J56" s="84" t="s">
        <v>166</v>
      </c>
      <c r="K56" s="83">
        <v>1.0</v>
      </c>
      <c r="L56" s="83">
        <v>0.0</v>
      </c>
      <c r="M56" s="83">
        <v>0.0</v>
      </c>
      <c r="N56" s="83">
        <v>1.0</v>
      </c>
      <c r="O56" s="83">
        <v>0.0</v>
      </c>
      <c r="P56" s="83">
        <v>2.0</v>
      </c>
      <c r="Q56" s="83">
        <v>2.0</v>
      </c>
    </row>
    <row r="57">
      <c r="A57" s="75" t="s">
        <v>1698</v>
      </c>
      <c r="J57" s="85" t="s">
        <v>1674</v>
      </c>
      <c r="K57" s="85">
        <v>4.0</v>
      </c>
      <c r="L57" s="85">
        <v>1.0</v>
      </c>
      <c r="M57" s="85">
        <v>3.0</v>
      </c>
      <c r="N57" s="85">
        <v>3.0</v>
      </c>
      <c r="O57" s="85">
        <v>1.0</v>
      </c>
      <c r="P57" s="85">
        <v>10.0</v>
      </c>
      <c r="Q57" s="85">
        <v>11.0</v>
      </c>
    </row>
    <row r="58">
      <c r="A58" s="76"/>
      <c r="B58" s="77"/>
      <c r="C58" s="78"/>
      <c r="J58" s="79" t="s">
        <v>337</v>
      </c>
      <c r="K58" s="80">
        <v>2.0</v>
      </c>
      <c r="L58" s="80">
        <v>4.0</v>
      </c>
      <c r="M58" s="80">
        <v>2.0</v>
      </c>
      <c r="N58" s="80">
        <v>3.0</v>
      </c>
      <c r="O58" s="80">
        <v>6.0</v>
      </c>
      <c r="P58" s="80">
        <v>5.0</v>
      </c>
      <c r="Q58" s="80">
        <v>11.0</v>
      </c>
    </row>
    <row r="59">
      <c r="A59" s="78"/>
      <c r="B59" s="78"/>
      <c r="C59" s="78"/>
      <c r="J59" s="93" t="s">
        <v>338</v>
      </c>
      <c r="K59" s="91">
        <v>1.0</v>
      </c>
      <c r="L59" s="91">
        <v>1.0</v>
      </c>
      <c r="M59" s="91">
        <v>1.0</v>
      </c>
      <c r="N59" s="91">
        <v>3.0</v>
      </c>
      <c r="O59" s="91">
        <v>2.0</v>
      </c>
      <c r="P59" s="91">
        <v>4.0</v>
      </c>
      <c r="Q59" s="91">
        <v>6.0</v>
      </c>
    </row>
    <row r="60">
      <c r="A60" s="81" t="s">
        <v>1668</v>
      </c>
      <c r="B60" s="81" t="s">
        <v>1669</v>
      </c>
      <c r="C60" s="81" t="s">
        <v>1670</v>
      </c>
      <c r="J60" s="92" t="s">
        <v>477</v>
      </c>
      <c r="K60" s="83">
        <v>1.0</v>
      </c>
      <c r="L60" s="83">
        <v>2.0</v>
      </c>
      <c r="M60" s="83">
        <v>1.0</v>
      </c>
      <c r="N60" s="83">
        <v>0.0</v>
      </c>
      <c r="O60" s="83">
        <v>3.0</v>
      </c>
      <c r="P60" s="83">
        <v>1.0</v>
      </c>
      <c r="Q60" s="83">
        <v>4.0</v>
      </c>
    </row>
    <row r="61">
      <c r="A61" s="77" t="s">
        <v>400</v>
      </c>
      <c r="B61" s="77" t="s">
        <v>1699</v>
      </c>
      <c r="C61" s="77" t="s">
        <v>1700</v>
      </c>
      <c r="J61" s="92" t="s">
        <v>995</v>
      </c>
      <c r="K61" s="83">
        <v>0.0</v>
      </c>
      <c r="L61" s="83">
        <v>1.0</v>
      </c>
      <c r="M61" s="83">
        <v>0.0</v>
      </c>
      <c r="N61" s="83">
        <v>0.0</v>
      </c>
      <c r="O61" s="83">
        <v>1.0</v>
      </c>
      <c r="P61" s="83">
        <v>0.0</v>
      </c>
      <c r="Q61" s="83">
        <v>1.0</v>
      </c>
    </row>
    <row r="62">
      <c r="A62" s="77" t="s">
        <v>606</v>
      </c>
      <c r="B62" s="77" t="s">
        <v>1701</v>
      </c>
      <c r="C62" s="77" t="s">
        <v>1702</v>
      </c>
      <c r="J62" s="85" t="s">
        <v>1674</v>
      </c>
      <c r="K62" s="85">
        <v>2.0</v>
      </c>
      <c r="L62" s="85">
        <v>4.0</v>
      </c>
      <c r="M62" s="85">
        <v>2.0</v>
      </c>
      <c r="N62" s="85">
        <v>3.0</v>
      </c>
      <c r="O62" s="85">
        <v>6.0</v>
      </c>
      <c r="P62" s="85">
        <v>5.0</v>
      </c>
      <c r="Q62" s="85">
        <v>11.0</v>
      </c>
    </row>
    <row r="63">
      <c r="A63" s="77" t="s">
        <v>522</v>
      </c>
      <c r="B63" s="77" t="s">
        <v>1703</v>
      </c>
      <c r="C63" s="77" t="s">
        <v>1704</v>
      </c>
      <c r="J63" s="79" t="s">
        <v>771</v>
      </c>
      <c r="K63" s="80">
        <v>2.0</v>
      </c>
      <c r="L63" s="80">
        <v>2.0</v>
      </c>
      <c r="M63" s="80">
        <v>1.0</v>
      </c>
      <c r="N63" s="80">
        <v>1.0</v>
      </c>
      <c r="O63" s="80">
        <v>3.0</v>
      </c>
      <c r="P63" s="80">
        <v>3.0</v>
      </c>
      <c r="Q63" s="80">
        <v>6.0</v>
      </c>
    </row>
    <row r="64">
      <c r="A64" s="77" t="s">
        <v>1705</v>
      </c>
      <c r="B64" s="77" t="s">
        <v>1706</v>
      </c>
      <c r="C64" s="77" t="s">
        <v>1707</v>
      </c>
      <c r="J64" s="89" t="s">
        <v>772</v>
      </c>
      <c r="K64" s="83">
        <v>1.0</v>
      </c>
      <c r="L64" s="83">
        <v>2.0</v>
      </c>
      <c r="M64" s="83">
        <v>0.0</v>
      </c>
      <c r="N64" s="83">
        <v>0.0</v>
      </c>
      <c r="O64" s="83">
        <v>3.0</v>
      </c>
      <c r="P64" s="83">
        <v>0.0</v>
      </c>
      <c r="Q64" s="83">
        <v>3.0</v>
      </c>
    </row>
    <row r="65">
      <c r="A65" s="78"/>
      <c r="B65" s="78"/>
      <c r="C65" s="78"/>
      <c r="J65" s="94" t="s">
        <v>905</v>
      </c>
      <c r="K65" s="91">
        <v>1.0</v>
      </c>
      <c r="L65" s="91">
        <v>0.0</v>
      </c>
      <c r="M65" s="91">
        <v>1.0</v>
      </c>
      <c r="N65" s="91">
        <v>1.0</v>
      </c>
      <c r="O65" s="91">
        <v>0.0</v>
      </c>
      <c r="P65" s="91">
        <v>3.0</v>
      </c>
      <c r="Q65" s="91">
        <v>3.0</v>
      </c>
    </row>
    <row r="66">
      <c r="A66" s="78"/>
      <c r="B66" s="78"/>
      <c r="C66" s="78"/>
      <c r="J66" s="85" t="s">
        <v>1674</v>
      </c>
      <c r="K66" s="85">
        <v>2.0</v>
      </c>
      <c r="L66" s="85">
        <v>2.0</v>
      </c>
      <c r="M66" s="85">
        <v>1.0</v>
      </c>
      <c r="N66" s="85">
        <v>1.0</v>
      </c>
      <c r="O66" s="85">
        <v>3.0</v>
      </c>
      <c r="P66" s="85">
        <v>3.0</v>
      </c>
      <c r="Q66" s="85">
        <v>6.0</v>
      </c>
    </row>
    <row r="67">
      <c r="A67" s="75" t="s">
        <v>65</v>
      </c>
      <c r="J67" s="79" t="s">
        <v>387</v>
      </c>
      <c r="K67" s="80">
        <v>1.0</v>
      </c>
      <c r="L67" s="80">
        <v>0.0</v>
      </c>
      <c r="M67" s="80">
        <v>3.0</v>
      </c>
      <c r="N67" s="80">
        <v>1.0</v>
      </c>
      <c r="O67" s="80">
        <v>0.0</v>
      </c>
      <c r="P67" s="80">
        <v>5.0</v>
      </c>
      <c r="Q67" s="80">
        <v>5.0</v>
      </c>
    </row>
    <row r="68">
      <c r="A68" s="76"/>
      <c r="B68" s="77"/>
      <c r="C68" s="78"/>
      <c r="J68" s="84" t="s">
        <v>388</v>
      </c>
      <c r="K68" s="83">
        <v>1.0</v>
      </c>
      <c r="L68" s="83">
        <v>0.0</v>
      </c>
      <c r="M68" s="83">
        <v>1.0</v>
      </c>
      <c r="N68" s="83">
        <v>1.0</v>
      </c>
      <c r="O68" s="83">
        <v>0.0</v>
      </c>
      <c r="P68" s="83">
        <v>3.0</v>
      </c>
      <c r="Q68" s="83">
        <v>3.0</v>
      </c>
    </row>
    <row r="69">
      <c r="A69" s="78"/>
      <c r="B69" s="78"/>
      <c r="C69" s="78"/>
      <c r="J69" s="95" t="s">
        <v>425</v>
      </c>
      <c r="K69" s="91">
        <v>0.0</v>
      </c>
      <c r="L69" s="91">
        <v>0.0</v>
      </c>
      <c r="M69" s="91">
        <v>2.0</v>
      </c>
      <c r="N69" s="91">
        <v>0.0</v>
      </c>
      <c r="O69" s="91">
        <v>0.0</v>
      </c>
      <c r="P69" s="91">
        <v>2.0</v>
      </c>
      <c r="Q69" s="91">
        <v>2.0</v>
      </c>
    </row>
    <row r="70">
      <c r="A70" s="81" t="s">
        <v>1668</v>
      </c>
      <c r="B70" s="81" t="s">
        <v>1669</v>
      </c>
      <c r="C70" s="81" t="s">
        <v>1670</v>
      </c>
      <c r="J70" s="85" t="s">
        <v>1674</v>
      </c>
      <c r="K70" s="85">
        <v>1.0</v>
      </c>
      <c r="L70" s="85">
        <v>0.0</v>
      </c>
      <c r="M70" s="85">
        <v>3.0</v>
      </c>
      <c r="N70" s="85">
        <v>1.0</v>
      </c>
      <c r="O70" s="85">
        <v>0.0</v>
      </c>
      <c r="P70" s="85">
        <v>5.0</v>
      </c>
      <c r="Q70" s="85">
        <v>5.0</v>
      </c>
    </row>
    <row r="71">
      <c r="A71" s="77" t="s">
        <v>324</v>
      </c>
      <c r="B71" s="77" t="s">
        <v>1708</v>
      </c>
      <c r="C71" s="77" t="s">
        <v>1709</v>
      </c>
      <c r="J71" s="79" t="s">
        <v>399</v>
      </c>
      <c r="K71" s="80">
        <v>0.0</v>
      </c>
      <c r="L71" s="80">
        <v>0.0</v>
      </c>
      <c r="M71" s="80">
        <v>3.0</v>
      </c>
      <c r="N71" s="80">
        <v>1.0</v>
      </c>
      <c r="O71" s="80">
        <v>1.0</v>
      </c>
      <c r="P71" s="80">
        <v>3.0</v>
      </c>
      <c r="Q71" s="80">
        <v>4.0</v>
      </c>
    </row>
    <row r="72">
      <c r="A72" s="77" t="s">
        <v>264</v>
      </c>
      <c r="B72" s="77" t="s">
        <v>1710</v>
      </c>
      <c r="C72" s="77" t="s">
        <v>1711</v>
      </c>
      <c r="J72" s="82" t="s">
        <v>522</v>
      </c>
      <c r="K72" s="83">
        <v>0.0</v>
      </c>
      <c r="L72" s="83">
        <v>0.0</v>
      </c>
      <c r="M72" s="83">
        <v>1.0</v>
      </c>
      <c r="N72" s="83">
        <v>1.0</v>
      </c>
      <c r="O72" s="83">
        <v>1.0</v>
      </c>
      <c r="P72" s="83">
        <v>1.0</v>
      </c>
      <c r="Q72" s="83">
        <v>2.0</v>
      </c>
    </row>
    <row r="73">
      <c r="A73" s="77" t="s">
        <v>66</v>
      </c>
      <c r="B73" s="77" t="s">
        <v>1712</v>
      </c>
      <c r="C73" s="77" t="s">
        <v>1713</v>
      </c>
      <c r="J73" s="96" t="s">
        <v>606</v>
      </c>
      <c r="K73" s="91">
        <v>0.0</v>
      </c>
      <c r="L73" s="91">
        <v>0.0</v>
      </c>
      <c r="M73" s="91">
        <v>1.0</v>
      </c>
      <c r="N73" s="91">
        <v>0.0</v>
      </c>
      <c r="O73" s="91">
        <v>0.0</v>
      </c>
      <c r="P73" s="91">
        <v>1.0</v>
      </c>
      <c r="Q73" s="91">
        <v>1.0</v>
      </c>
    </row>
    <row r="74">
      <c r="A74" s="77" t="s">
        <v>1187</v>
      </c>
      <c r="B74" s="77" t="s">
        <v>1714</v>
      </c>
      <c r="C74" s="77" t="s">
        <v>1715</v>
      </c>
      <c r="J74" s="88" t="s">
        <v>400</v>
      </c>
      <c r="K74" s="83">
        <v>0.0</v>
      </c>
      <c r="L74" s="83">
        <v>0.0</v>
      </c>
      <c r="M74" s="83">
        <v>1.0</v>
      </c>
      <c r="N74" s="83">
        <v>0.0</v>
      </c>
      <c r="O74" s="83">
        <v>0.0</v>
      </c>
      <c r="P74" s="83">
        <v>1.0</v>
      </c>
      <c r="Q74" s="83">
        <v>1.0</v>
      </c>
    </row>
    <row r="75">
      <c r="A75" s="78"/>
      <c r="B75" s="78"/>
      <c r="C75" s="78"/>
      <c r="J75" s="85" t="s">
        <v>1674</v>
      </c>
      <c r="K75" s="85">
        <v>0.0</v>
      </c>
      <c r="L75" s="85">
        <v>0.0</v>
      </c>
      <c r="M75" s="85">
        <v>3.0</v>
      </c>
      <c r="N75" s="85">
        <v>1.0</v>
      </c>
      <c r="O75" s="85">
        <v>1.0</v>
      </c>
      <c r="P75" s="85">
        <v>3.0</v>
      </c>
      <c r="Q75" s="85">
        <v>4.0</v>
      </c>
    </row>
    <row r="76">
      <c r="A76" s="78"/>
      <c r="B76" s="78"/>
      <c r="C76" s="78"/>
      <c r="J76" s="79" t="s">
        <v>533</v>
      </c>
      <c r="K76" s="80">
        <v>0.0</v>
      </c>
      <c r="L76" s="80">
        <v>3.0</v>
      </c>
      <c r="M76" s="80">
        <v>0.0</v>
      </c>
      <c r="N76" s="80">
        <v>1.0</v>
      </c>
      <c r="O76" s="80">
        <v>3.0</v>
      </c>
      <c r="P76" s="80">
        <v>1.0</v>
      </c>
      <c r="Q76" s="80">
        <v>4.0</v>
      </c>
    </row>
    <row r="77">
      <c r="A77" s="75" t="s">
        <v>450</v>
      </c>
      <c r="J77" s="97" t="s">
        <v>534</v>
      </c>
      <c r="K77" s="83">
        <v>0.0</v>
      </c>
      <c r="L77" s="83">
        <v>2.0</v>
      </c>
      <c r="M77" s="83">
        <v>0.0</v>
      </c>
      <c r="N77" s="83">
        <v>1.0</v>
      </c>
      <c r="O77" s="83">
        <v>2.0</v>
      </c>
      <c r="P77" s="83">
        <v>1.0</v>
      </c>
      <c r="Q77" s="83">
        <v>3.0</v>
      </c>
    </row>
    <row r="78">
      <c r="A78" s="76"/>
      <c r="B78" s="77"/>
      <c r="C78" s="78"/>
      <c r="J78" s="97" t="s">
        <v>828</v>
      </c>
      <c r="K78" s="83">
        <v>0.0</v>
      </c>
      <c r="L78" s="83">
        <v>1.0</v>
      </c>
      <c r="M78" s="83">
        <v>0.0</v>
      </c>
      <c r="N78" s="83">
        <v>0.0</v>
      </c>
      <c r="O78" s="83">
        <v>1.0</v>
      </c>
      <c r="P78" s="83">
        <v>0.0</v>
      </c>
      <c r="Q78" s="83">
        <v>1.0</v>
      </c>
    </row>
    <row r="79">
      <c r="A79" s="78"/>
      <c r="B79" s="78"/>
      <c r="C79" s="78"/>
      <c r="J79" s="23" t="s">
        <v>1674</v>
      </c>
      <c r="K79" s="23">
        <v>0.0</v>
      </c>
      <c r="L79" s="23">
        <v>3.0</v>
      </c>
      <c r="M79" s="23">
        <v>0.0</v>
      </c>
      <c r="N79" s="23">
        <v>1.0</v>
      </c>
      <c r="O79" s="23">
        <v>3.0</v>
      </c>
      <c r="P79" s="23">
        <v>1.0</v>
      </c>
      <c r="Q79" s="23">
        <v>4.0</v>
      </c>
    </row>
    <row r="80">
      <c r="A80" s="81" t="s">
        <v>1668</v>
      </c>
      <c r="B80" s="81" t="s">
        <v>1669</v>
      </c>
      <c r="C80" s="81" t="s">
        <v>1670</v>
      </c>
      <c r="J80" s="23" t="s">
        <v>1716</v>
      </c>
      <c r="K80" s="23">
        <v>38.0</v>
      </c>
      <c r="L80" s="23">
        <v>34.0</v>
      </c>
      <c r="M80" s="23">
        <v>30.0</v>
      </c>
      <c r="N80" s="23">
        <v>33.0</v>
      </c>
      <c r="O80" s="23">
        <v>56.0</v>
      </c>
      <c r="P80" s="23">
        <v>79.0</v>
      </c>
      <c r="Q80" s="23">
        <v>135.0</v>
      </c>
    </row>
    <row r="81">
      <c r="A81" s="77" t="s">
        <v>451</v>
      </c>
      <c r="B81" s="77" t="s">
        <v>1717</v>
      </c>
      <c r="C81" s="77" t="s">
        <v>1718</v>
      </c>
    </row>
    <row r="82">
      <c r="A82" s="77" t="s">
        <v>1719</v>
      </c>
      <c r="B82" s="77" t="s">
        <v>1720</v>
      </c>
      <c r="C82" s="77" t="s">
        <v>1721</v>
      </c>
    </row>
    <row r="83">
      <c r="A83" s="77" t="s">
        <v>547</v>
      </c>
      <c r="B83" s="77" t="s">
        <v>1722</v>
      </c>
      <c r="C83" s="77" t="s">
        <v>1723</v>
      </c>
    </row>
    <row r="84">
      <c r="A84" s="77" t="s">
        <v>723</v>
      </c>
      <c r="B84" s="77" t="s">
        <v>1724</v>
      </c>
      <c r="C84" s="77" t="s">
        <v>1725</v>
      </c>
    </row>
    <row r="85">
      <c r="A85" s="78"/>
      <c r="B85" s="78"/>
      <c r="C85" s="78"/>
    </row>
    <row r="86">
      <c r="A86" s="78"/>
      <c r="B86" s="78"/>
      <c r="C86" s="78"/>
    </row>
    <row r="87">
      <c r="A87" s="75" t="s">
        <v>135</v>
      </c>
    </row>
    <row r="88">
      <c r="A88" s="76"/>
      <c r="B88" s="77"/>
      <c r="C88" s="78"/>
    </row>
    <row r="89">
      <c r="A89" s="78"/>
      <c r="B89" s="78"/>
      <c r="C89" s="78"/>
    </row>
    <row r="90">
      <c r="A90" s="81" t="s">
        <v>1668</v>
      </c>
      <c r="B90" s="81" t="s">
        <v>1669</v>
      </c>
      <c r="C90" s="81" t="s">
        <v>1670</v>
      </c>
    </row>
    <row r="91">
      <c r="A91" s="77" t="s">
        <v>136</v>
      </c>
      <c r="B91" s="77" t="s">
        <v>1726</v>
      </c>
      <c r="C91" s="77" t="s">
        <v>222</v>
      </c>
    </row>
    <row r="92">
      <c r="A92" s="77" t="s">
        <v>166</v>
      </c>
      <c r="B92" s="77" t="s">
        <v>1727</v>
      </c>
      <c r="C92" s="77" t="s">
        <v>1728</v>
      </c>
    </row>
    <row r="93">
      <c r="A93" s="77" t="s">
        <v>411</v>
      </c>
      <c r="B93" s="77" t="s">
        <v>1729</v>
      </c>
      <c r="C93" s="77" t="s">
        <v>1730</v>
      </c>
    </row>
    <row r="94">
      <c r="A94" s="78"/>
      <c r="B94" s="78"/>
      <c r="C94" s="78"/>
    </row>
    <row r="95">
      <c r="A95" s="78"/>
      <c r="B95" s="78"/>
      <c r="C95" s="78"/>
    </row>
    <row r="96">
      <c r="A96" s="75" t="s">
        <v>387</v>
      </c>
    </row>
    <row r="97">
      <c r="A97" s="76"/>
      <c r="B97" s="77"/>
      <c r="C97" s="78"/>
    </row>
    <row r="98">
      <c r="A98" s="78"/>
      <c r="B98" s="78"/>
      <c r="C98" s="78"/>
    </row>
    <row r="99">
      <c r="A99" s="81" t="s">
        <v>1668</v>
      </c>
      <c r="B99" s="81" t="s">
        <v>1669</v>
      </c>
      <c r="C99" s="81" t="s">
        <v>1670</v>
      </c>
    </row>
    <row r="100">
      <c r="A100" s="77" t="s">
        <v>388</v>
      </c>
      <c r="B100" s="77" t="s">
        <v>1731</v>
      </c>
      <c r="C100" s="77" t="s">
        <v>1732</v>
      </c>
    </row>
    <row r="101">
      <c r="A101" s="77" t="s">
        <v>425</v>
      </c>
      <c r="B101" s="77" t="s">
        <v>1733</v>
      </c>
      <c r="C101" s="77" t="s">
        <v>1734</v>
      </c>
    </row>
    <row r="102">
      <c r="A102" s="78"/>
      <c r="B102" s="78"/>
      <c r="C102" s="78"/>
    </row>
    <row r="103">
      <c r="A103" s="78"/>
      <c r="B103" s="78"/>
      <c r="C103" s="78"/>
    </row>
    <row r="104">
      <c r="A104" s="75" t="s">
        <v>771</v>
      </c>
    </row>
    <row r="105">
      <c r="A105" s="76"/>
      <c r="B105" s="77"/>
      <c r="C105" s="78"/>
    </row>
    <row r="106">
      <c r="A106" s="78"/>
      <c r="B106" s="78"/>
      <c r="C106" s="78"/>
    </row>
    <row r="107">
      <c r="A107" s="81" t="s">
        <v>1668</v>
      </c>
      <c r="B107" s="81" t="s">
        <v>1669</v>
      </c>
      <c r="C107" s="81" t="s">
        <v>1670</v>
      </c>
    </row>
    <row r="108">
      <c r="A108" s="77" t="s">
        <v>772</v>
      </c>
      <c r="B108" s="77" t="s">
        <v>1735</v>
      </c>
      <c r="C108" s="77"/>
    </row>
    <row r="109">
      <c r="A109" s="77" t="s">
        <v>905</v>
      </c>
      <c r="B109" s="77" t="s">
        <v>1736</v>
      </c>
      <c r="C109" s="77" t="s">
        <v>1737</v>
      </c>
    </row>
    <row r="110">
      <c r="A110" s="78"/>
      <c r="B110" s="78"/>
      <c r="C110" s="78"/>
    </row>
    <row r="111">
      <c r="A111" s="78"/>
      <c r="B111" s="78"/>
      <c r="C111" s="78"/>
    </row>
    <row r="112">
      <c r="A112" s="75" t="s">
        <v>533</v>
      </c>
    </row>
    <row r="113">
      <c r="A113" s="76"/>
      <c r="B113" s="77"/>
      <c r="C113" s="78"/>
    </row>
    <row r="114">
      <c r="A114" s="78"/>
      <c r="B114" s="78"/>
      <c r="C114" s="78"/>
    </row>
    <row r="115">
      <c r="A115" s="81" t="s">
        <v>1668</v>
      </c>
      <c r="B115" s="81" t="s">
        <v>1669</v>
      </c>
      <c r="C115" s="81" t="s">
        <v>1670</v>
      </c>
    </row>
    <row r="116">
      <c r="A116" s="77" t="s">
        <v>828</v>
      </c>
      <c r="B116" s="77" t="s">
        <v>1738</v>
      </c>
      <c r="C116" s="77" t="s">
        <v>1739</v>
      </c>
    </row>
    <row r="117">
      <c r="A117" s="77" t="s">
        <v>1740</v>
      </c>
      <c r="B117" s="77" t="s">
        <v>1741</v>
      </c>
      <c r="C117" s="77" t="s">
        <v>1742</v>
      </c>
    </row>
    <row r="118">
      <c r="A118" s="77" t="s">
        <v>534</v>
      </c>
      <c r="B118" s="77" t="s">
        <v>1743</v>
      </c>
      <c r="C118" s="77" t="s">
        <v>1744</v>
      </c>
    </row>
    <row r="119">
      <c r="A119" s="78"/>
      <c r="B119" s="78"/>
      <c r="C119" s="78"/>
    </row>
    <row r="120">
      <c r="A120" s="78"/>
      <c r="B120" s="78"/>
      <c r="C120" s="78"/>
    </row>
    <row r="121">
      <c r="A121" s="75" t="s">
        <v>337</v>
      </c>
    </row>
    <row r="122">
      <c r="A122" s="76"/>
      <c r="B122" s="77"/>
      <c r="C122" s="78"/>
    </row>
    <row r="123">
      <c r="A123" s="78"/>
      <c r="B123" s="78"/>
      <c r="C123" s="78"/>
    </row>
    <row r="124">
      <c r="A124" s="81" t="s">
        <v>1668</v>
      </c>
      <c r="B124" s="81" t="s">
        <v>1669</v>
      </c>
      <c r="C124" s="81" t="s">
        <v>1670</v>
      </c>
    </row>
    <row r="125">
      <c r="A125" s="77" t="s">
        <v>338</v>
      </c>
      <c r="B125" s="77" t="s">
        <v>1745</v>
      </c>
      <c r="C125" s="77" t="s">
        <v>335</v>
      </c>
    </row>
    <row r="126">
      <c r="A126" s="77" t="s">
        <v>995</v>
      </c>
      <c r="B126" s="77" t="s">
        <v>1746</v>
      </c>
      <c r="C126" s="77" t="s">
        <v>994</v>
      </c>
    </row>
    <row r="127">
      <c r="A127" s="77" t="s">
        <v>477</v>
      </c>
      <c r="B127" s="77" t="s">
        <v>1747</v>
      </c>
      <c r="C127" s="77" t="s">
        <v>818</v>
      </c>
    </row>
    <row r="128">
      <c r="A128" s="78"/>
      <c r="B128" s="78"/>
      <c r="C128" s="78"/>
    </row>
    <row r="148">
      <c r="C148" s="78"/>
      <c r="D148" s="78"/>
      <c r="E148" s="78"/>
    </row>
  </sheetData>
  <mergeCells count="15">
    <mergeCell ref="A57:I57"/>
    <mergeCell ref="A67:I67"/>
    <mergeCell ref="A77:I77"/>
    <mergeCell ref="A87:I87"/>
    <mergeCell ref="A96:I96"/>
    <mergeCell ref="A104:I104"/>
    <mergeCell ref="A112:I112"/>
    <mergeCell ref="A121:I121"/>
    <mergeCell ref="K3:N3"/>
    <mergeCell ref="O3:Q3"/>
    <mergeCell ref="K19:N19"/>
    <mergeCell ref="O19:Q19"/>
    <mergeCell ref="A28:I28"/>
    <mergeCell ref="A37:I37"/>
    <mergeCell ref="A47:I47"/>
  </mergeCells>
  <conditionalFormatting sqref="K5:K16">
    <cfRule type="colorScale" priority="1">
      <colorScale>
        <cfvo type="min"/>
        <cfvo type="max"/>
        <color rgb="FFFFFFFF"/>
        <color rgb="FFE67C73"/>
      </colorScale>
    </cfRule>
  </conditionalFormatting>
  <conditionalFormatting sqref="K5:K16">
    <cfRule type="colorScale" priority="2">
      <colorScale>
        <cfvo type="min"/>
        <cfvo type="max"/>
        <color rgb="FFFFFFFF"/>
        <color rgb="FFE67C73"/>
      </colorScale>
    </cfRule>
  </conditionalFormatting>
  <conditionalFormatting sqref="L5:L16">
    <cfRule type="colorScale" priority="3">
      <colorScale>
        <cfvo type="min"/>
        <cfvo type="max"/>
        <color rgb="FFFFFFFF"/>
        <color rgb="FFE67C73"/>
      </colorScale>
    </cfRule>
  </conditionalFormatting>
  <conditionalFormatting sqref="L5:L16">
    <cfRule type="colorScale" priority="4">
      <colorScale>
        <cfvo type="min"/>
        <cfvo type="max"/>
        <color rgb="FFFFFFFF"/>
        <color rgb="FFE67C73"/>
      </colorScale>
    </cfRule>
  </conditionalFormatting>
  <conditionalFormatting sqref="L5:L16">
    <cfRule type="colorScale" priority="5">
      <colorScale>
        <cfvo type="min"/>
        <cfvo type="max"/>
        <color rgb="FFFFFFFF"/>
        <color rgb="FFE67C73"/>
      </colorScale>
    </cfRule>
  </conditionalFormatting>
  <conditionalFormatting sqref="M5:M16">
    <cfRule type="colorScale" priority="6">
      <colorScale>
        <cfvo type="min"/>
        <cfvo type="max"/>
        <color rgb="FFFFFFFF"/>
        <color rgb="FFE67C73"/>
      </colorScale>
    </cfRule>
  </conditionalFormatting>
  <conditionalFormatting sqref="M5:M16">
    <cfRule type="colorScale" priority="7">
      <colorScale>
        <cfvo type="min"/>
        <cfvo type="max"/>
        <color rgb="FFFFFFFF"/>
        <color rgb="FFE67C73"/>
      </colorScale>
    </cfRule>
  </conditionalFormatting>
  <conditionalFormatting sqref="N5:N16">
    <cfRule type="colorScale" priority="8">
      <colorScale>
        <cfvo type="min"/>
        <cfvo type="max"/>
        <color rgb="FFFFFFFF"/>
        <color rgb="FFE67C73"/>
      </colorScale>
    </cfRule>
  </conditionalFormatting>
  <conditionalFormatting sqref="O5:O16">
    <cfRule type="colorScale" priority="9">
      <colorScale>
        <cfvo type="min"/>
        <cfvo type="max"/>
        <color rgb="FFFFFFFF"/>
        <color rgb="FFE67C73"/>
      </colorScale>
    </cfRule>
  </conditionalFormatting>
  <conditionalFormatting sqref="P5:P16">
    <cfRule type="colorScale" priority="10">
      <colorScale>
        <cfvo type="min"/>
        <cfvo type="max"/>
        <color rgb="FFFFFFFF"/>
        <color rgb="FFE67C73"/>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0"/>
    <col customWidth="1" min="2" max="2" width="10.0"/>
    <col customWidth="1" min="3" max="3" width="35.0"/>
    <col customWidth="1" min="4" max="4" width="12.86"/>
    <col customWidth="1" min="5" max="5" width="14.0"/>
    <col customWidth="1" min="6" max="12" width="12.86"/>
  </cols>
  <sheetData>
    <row r="1">
      <c r="A1" s="3" t="s">
        <v>1748</v>
      </c>
      <c r="B1" s="3" t="s">
        <v>1749</v>
      </c>
      <c r="C1" s="3" t="s">
        <v>1750</v>
      </c>
      <c r="D1" s="3" t="s">
        <v>1751</v>
      </c>
    </row>
    <row r="2">
      <c r="A2" s="7" t="s">
        <v>1752</v>
      </c>
      <c r="B2" s="7" t="s">
        <v>165</v>
      </c>
      <c r="C2" s="3" t="s">
        <v>1753</v>
      </c>
      <c r="D2" s="3" t="s">
        <v>1754</v>
      </c>
    </row>
    <row r="3">
      <c r="A3" s="98"/>
      <c r="B3" s="7" t="s">
        <v>114</v>
      </c>
      <c r="C3" s="3" t="s">
        <v>1755</v>
      </c>
      <c r="D3" s="3" t="s">
        <v>1756</v>
      </c>
    </row>
    <row r="4">
      <c r="A4" s="98"/>
      <c r="B4" s="7" t="s">
        <v>437</v>
      </c>
      <c r="C4" s="3" t="s">
        <v>1757</v>
      </c>
      <c r="D4" s="3" t="s">
        <v>1758</v>
      </c>
    </row>
    <row r="5">
      <c r="A5" s="98"/>
      <c r="B5" s="7" t="s">
        <v>1230</v>
      </c>
      <c r="C5" s="3" t="s">
        <v>1759</v>
      </c>
      <c r="D5" s="3" t="s">
        <v>1760</v>
      </c>
    </row>
    <row r="6">
      <c r="A6" s="98"/>
      <c r="B6" s="7" t="s">
        <v>386</v>
      </c>
      <c r="C6" s="3" t="s">
        <v>1761</v>
      </c>
      <c r="D6" s="3" t="s">
        <v>1762</v>
      </c>
    </row>
    <row r="7">
      <c r="A7" s="98"/>
      <c r="B7" s="7" t="s">
        <v>1332</v>
      </c>
      <c r="C7" s="3" t="s">
        <v>1763</v>
      </c>
      <c r="D7" s="3" t="s">
        <v>1764</v>
      </c>
    </row>
    <row r="8">
      <c r="A8" s="98"/>
      <c r="B8" s="7" t="s">
        <v>263</v>
      </c>
      <c r="C8" s="3" t="s">
        <v>1765</v>
      </c>
      <c r="D8" s="3" t="s">
        <v>1766</v>
      </c>
    </row>
    <row r="9">
      <c r="A9" s="7" t="s">
        <v>1767</v>
      </c>
      <c r="B9" s="7" t="s">
        <v>134</v>
      </c>
      <c r="C9" s="3" t="s">
        <v>1768</v>
      </c>
      <c r="D9" s="3" t="s">
        <v>1769</v>
      </c>
    </row>
    <row r="10">
      <c r="A10" s="98"/>
      <c r="B10" s="7" t="s">
        <v>133</v>
      </c>
      <c r="C10" s="3" t="s">
        <v>1770</v>
      </c>
      <c r="D10" s="3" t="s">
        <v>1771</v>
      </c>
    </row>
    <row r="11">
      <c r="A11" s="98"/>
      <c r="B11" s="7" t="s">
        <v>336</v>
      </c>
      <c r="C11" s="3" t="s">
        <v>1772</v>
      </c>
      <c r="D11" s="3" t="s">
        <v>1773</v>
      </c>
    </row>
    <row r="12">
      <c r="A12" s="98"/>
      <c r="B12" s="7" t="s">
        <v>90</v>
      </c>
      <c r="C12" s="3" t="s">
        <v>1774</v>
      </c>
      <c r="D12" s="3" t="s">
        <v>1775</v>
      </c>
    </row>
    <row r="13">
      <c r="A13" s="98"/>
      <c r="B13" s="7" t="s">
        <v>1375</v>
      </c>
      <c r="C13" s="3" t="s">
        <v>1776</v>
      </c>
      <c r="D13" s="3" t="s">
        <v>1777</v>
      </c>
    </row>
    <row r="14">
      <c r="A14" s="7" t="s">
        <v>1778</v>
      </c>
      <c r="B14" s="7" t="s">
        <v>64</v>
      </c>
      <c r="C14" s="3" t="s">
        <v>1779</v>
      </c>
      <c r="D14" s="3" t="s">
        <v>1780</v>
      </c>
    </row>
    <row r="15">
      <c r="A15" s="98"/>
      <c r="B15" s="7" t="s">
        <v>208</v>
      </c>
      <c r="C15" s="3" t="s">
        <v>1781</v>
      </c>
      <c r="D15" s="3" t="s">
        <v>1782</v>
      </c>
    </row>
    <row r="16">
      <c r="A16" s="98"/>
      <c r="B16" s="7" t="s">
        <v>462</v>
      </c>
      <c r="C16" s="3" t="s">
        <v>1783</v>
      </c>
      <c r="D16" s="3" t="s">
        <v>1784</v>
      </c>
    </row>
    <row r="17">
      <c r="A17" s="98"/>
      <c r="B17" s="7" t="s">
        <v>558</v>
      </c>
      <c r="C17" s="3" t="s">
        <v>1785</v>
      </c>
      <c r="D17" s="3" t="s">
        <v>1786</v>
      </c>
    </row>
    <row r="18">
      <c r="A18" s="98"/>
      <c r="B18" s="7" t="s">
        <v>559</v>
      </c>
      <c r="C18" s="3" t="s">
        <v>1787</v>
      </c>
      <c r="D18" s="3" t="s">
        <v>1788</v>
      </c>
    </row>
    <row r="19">
      <c r="A19" s="98"/>
      <c r="B19" s="7" t="s">
        <v>234</v>
      </c>
      <c r="C19" s="3" t="s">
        <v>1789</v>
      </c>
      <c r="D19" s="3" t="s">
        <v>1790</v>
      </c>
    </row>
    <row r="20">
      <c r="A20" s="98"/>
      <c r="B20" s="7" t="s">
        <v>299</v>
      </c>
      <c r="C20" s="3" t="s">
        <v>1791</v>
      </c>
      <c r="D20" s="3" t="s">
        <v>1792</v>
      </c>
    </row>
    <row r="21">
      <c r="A21" s="98"/>
      <c r="B21" s="7" t="s">
        <v>699</v>
      </c>
      <c r="C21" s="3" t="s">
        <v>1793</v>
      </c>
      <c r="D21" s="3" t="s">
        <v>1794</v>
      </c>
      <c r="E21" s="78"/>
    </row>
    <row r="25">
      <c r="C25" s="35"/>
      <c r="D25" s="36"/>
      <c r="E25" s="36"/>
      <c r="F25" s="37"/>
      <c r="G25" s="35"/>
      <c r="H25" s="36"/>
      <c r="I25" s="37"/>
      <c r="J25" s="99"/>
      <c r="K25" s="36"/>
      <c r="L25" s="36"/>
      <c r="M25" s="37"/>
    </row>
    <row r="26">
      <c r="C26" s="23"/>
      <c r="D26" s="23"/>
      <c r="E26" s="23"/>
      <c r="F26" s="23"/>
      <c r="G26" s="23"/>
      <c r="H26" s="23"/>
      <c r="I26" s="23"/>
      <c r="J26" s="23"/>
      <c r="K26" s="23"/>
      <c r="L26" s="23"/>
      <c r="M26" s="23"/>
    </row>
    <row r="27">
      <c r="B27" s="100"/>
      <c r="C27" s="101"/>
      <c r="F27" s="102"/>
      <c r="G27" s="101"/>
      <c r="H27" s="103"/>
      <c r="I27" s="102"/>
      <c r="J27" s="101"/>
      <c r="K27" s="103"/>
      <c r="L27" s="103"/>
      <c r="M27" s="102"/>
    </row>
    <row r="28">
      <c r="B28" s="104"/>
      <c r="C28" s="101"/>
      <c r="F28" s="102"/>
      <c r="G28" s="101"/>
      <c r="I28" s="102"/>
      <c r="J28" s="105"/>
      <c r="M28" s="102"/>
    </row>
    <row r="29">
      <c r="B29" s="106"/>
      <c r="C29" s="101"/>
      <c r="F29" s="102"/>
      <c r="G29" s="105"/>
      <c r="I29" s="102"/>
      <c r="J29" s="101"/>
      <c r="M29" s="102"/>
    </row>
    <row r="30">
      <c r="B30" s="104"/>
      <c r="C30" s="101"/>
      <c r="F30" s="102"/>
      <c r="G30" s="101"/>
      <c r="I30" s="102"/>
      <c r="J30" s="101"/>
      <c r="M30" s="102"/>
    </row>
    <row r="31">
      <c r="B31" s="104"/>
      <c r="C31" s="101"/>
      <c r="F31" s="102"/>
      <c r="G31" s="105"/>
      <c r="I31" s="102"/>
      <c r="J31" s="101"/>
      <c r="M31" s="102"/>
    </row>
    <row r="32">
      <c r="B32" s="104"/>
      <c r="C32" s="101"/>
      <c r="F32" s="102"/>
      <c r="G32" s="101"/>
      <c r="I32" s="102"/>
      <c r="J32" s="101"/>
      <c r="M32" s="102"/>
    </row>
    <row r="33">
      <c r="B33" s="104"/>
      <c r="C33" s="101"/>
      <c r="F33" s="102"/>
      <c r="G33" s="101"/>
      <c r="I33" s="102"/>
      <c r="J33" s="101"/>
      <c r="M33" s="102"/>
    </row>
    <row r="34">
      <c r="B34" s="104"/>
      <c r="C34" s="101"/>
      <c r="F34" s="102"/>
      <c r="G34" s="101"/>
      <c r="I34" s="102"/>
      <c r="J34" s="101"/>
      <c r="M34" s="102"/>
    </row>
    <row r="35">
      <c r="B35" s="104"/>
      <c r="C35" s="101"/>
      <c r="F35" s="102"/>
      <c r="G35" s="101"/>
      <c r="I35" s="102"/>
      <c r="J35" s="101"/>
      <c r="M35" s="102"/>
    </row>
    <row r="36">
      <c r="B36" s="106"/>
      <c r="C36" s="101"/>
      <c r="F36" s="102"/>
      <c r="G36" s="101"/>
      <c r="H36" s="103"/>
      <c r="I36" s="102"/>
      <c r="J36" s="101"/>
      <c r="M36" s="102"/>
    </row>
    <row r="37">
      <c r="B37" s="104"/>
      <c r="C37" s="101"/>
      <c r="F37" s="102"/>
      <c r="G37" s="101"/>
      <c r="I37" s="102"/>
      <c r="J37" s="101"/>
      <c r="M37" s="102"/>
    </row>
    <row r="38">
      <c r="B38" s="104"/>
      <c r="C38" s="101"/>
      <c r="F38" s="102"/>
      <c r="G38" s="101"/>
      <c r="I38" s="102"/>
      <c r="J38" s="101"/>
      <c r="M38" s="102"/>
    </row>
    <row r="39">
      <c r="B39" s="104"/>
      <c r="C39" s="101"/>
      <c r="F39" s="102"/>
      <c r="G39" s="101"/>
      <c r="I39" s="102"/>
      <c r="J39" s="101"/>
      <c r="M39" s="102"/>
    </row>
    <row r="40">
      <c r="B40" s="104"/>
      <c r="C40" s="101"/>
      <c r="F40" s="102"/>
      <c r="G40" s="101"/>
      <c r="I40" s="102"/>
      <c r="J40" s="101"/>
      <c r="M40" s="102"/>
    </row>
    <row r="41">
      <c r="B41" s="104"/>
      <c r="C41" s="101"/>
      <c r="F41" s="102"/>
      <c r="G41" s="101"/>
      <c r="I41" s="102"/>
      <c r="J41" s="101"/>
      <c r="M41" s="102"/>
    </row>
    <row r="42">
      <c r="B42" s="104"/>
      <c r="C42" s="101"/>
      <c r="F42" s="102"/>
      <c r="G42" s="101"/>
      <c r="I42" s="102"/>
      <c r="J42" s="101"/>
      <c r="M42" s="102"/>
    </row>
    <row r="43">
      <c r="B43" s="104"/>
      <c r="C43" s="101"/>
      <c r="F43" s="102"/>
      <c r="G43" s="101"/>
      <c r="I43" s="102"/>
      <c r="J43" s="101"/>
      <c r="M43" s="102"/>
    </row>
    <row r="44">
      <c r="B44" s="104"/>
      <c r="C44" s="101"/>
      <c r="F44" s="102"/>
      <c r="G44" s="101"/>
      <c r="I44" s="102"/>
      <c r="J44" s="101"/>
      <c r="M44" s="102"/>
    </row>
    <row r="45">
      <c r="B45" s="104"/>
      <c r="C45" s="101"/>
      <c r="F45" s="102"/>
      <c r="G45" s="101"/>
      <c r="I45" s="102"/>
      <c r="J45" s="101"/>
      <c r="M45" s="102"/>
    </row>
    <row r="46">
      <c r="B46" s="107"/>
      <c r="C46" s="108"/>
      <c r="D46" s="109"/>
      <c r="E46" s="109"/>
      <c r="F46" s="110"/>
      <c r="G46" s="108"/>
      <c r="H46" s="109"/>
      <c r="I46" s="110"/>
      <c r="J46" s="108"/>
      <c r="K46" s="109"/>
      <c r="L46" s="109"/>
      <c r="M46" s="110"/>
    </row>
    <row r="49">
      <c r="C49" s="35"/>
      <c r="D49" s="36"/>
      <c r="E49" s="36"/>
      <c r="F49" s="37"/>
      <c r="G49" s="35"/>
      <c r="H49" s="36"/>
      <c r="I49" s="37"/>
      <c r="J49" s="99"/>
      <c r="K49" s="36"/>
      <c r="L49" s="36"/>
      <c r="M49" s="37"/>
    </row>
    <row r="50">
      <c r="C50" s="23"/>
      <c r="D50" s="23"/>
      <c r="E50" s="23"/>
      <c r="F50" s="23"/>
      <c r="G50" s="23"/>
      <c r="H50" s="23"/>
      <c r="I50" s="23"/>
      <c r="J50" s="23"/>
      <c r="K50" s="23"/>
      <c r="L50" s="23"/>
      <c r="M50" s="23"/>
    </row>
    <row r="51">
      <c r="C51" s="111"/>
      <c r="D51" s="111"/>
      <c r="E51" s="111"/>
      <c r="F51" s="111"/>
      <c r="G51" s="111"/>
      <c r="H51" s="111"/>
      <c r="I51" s="111"/>
      <c r="J51" s="111"/>
      <c r="K51" s="111"/>
      <c r="L51" s="111"/>
      <c r="M51" s="111"/>
    </row>
    <row r="52">
      <c r="C52" s="111"/>
      <c r="D52" s="111"/>
      <c r="E52" s="111"/>
      <c r="F52" s="111"/>
      <c r="G52" s="111"/>
      <c r="H52" s="111"/>
      <c r="I52" s="111"/>
      <c r="J52" s="111"/>
      <c r="K52" s="111"/>
      <c r="L52" s="111"/>
      <c r="M52" s="111"/>
    </row>
    <row r="53">
      <c r="C53" s="111"/>
      <c r="D53" s="111"/>
      <c r="E53" s="111"/>
      <c r="F53" s="111"/>
      <c r="G53" s="111"/>
      <c r="H53" s="111"/>
      <c r="I53" s="111"/>
      <c r="J53" s="111"/>
      <c r="K53" s="111"/>
      <c r="L53" s="111"/>
      <c r="M53" s="111"/>
    </row>
    <row r="54">
      <c r="C54" s="111"/>
      <c r="D54" s="111"/>
      <c r="E54" s="111"/>
      <c r="F54" s="111"/>
      <c r="G54" s="111"/>
      <c r="H54" s="111"/>
      <c r="I54" s="111"/>
      <c r="J54" s="111"/>
      <c r="K54" s="111"/>
      <c r="L54" s="111"/>
      <c r="M54" s="111"/>
    </row>
    <row r="55">
      <c r="C55" s="111"/>
      <c r="D55" s="111"/>
      <c r="E55" s="111"/>
      <c r="F55" s="111"/>
      <c r="G55" s="111"/>
      <c r="H55" s="111"/>
      <c r="I55" s="111"/>
      <c r="J55" s="111"/>
      <c r="K55" s="111"/>
      <c r="L55" s="111"/>
      <c r="M55" s="111"/>
    </row>
    <row r="56">
      <c r="C56" s="111"/>
      <c r="D56" s="111"/>
      <c r="E56" s="111"/>
      <c r="F56" s="111"/>
      <c r="G56" s="111"/>
      <c r="H56" s="111"/>
      <c r="I56" s="111"/>
      <c r="J56" s="111"/>
      <c r="K56" s="111"/>
      <c r="L56" s="111"/>
      <c r="M56" s="111"/>
    </row>
    <row r="57">
      <c r="C57" s="111"/>
      <c r="D57" s="111"/>
      <c r="E57" s="111"/>
      <c r="F57" s="111"/>
      <c r="G57" s="111"/>
      <c r="H57" s="111"/>
      <c r="I57" s="111"/>
      <c r="J57" s="111"/>
      <c r="K57" s="111"/>
      <c r="L57" s="111"/>
      <c r="M57" s="111"/>
    </row>
    <row r="58">
      <c r="C58" s="111"/>
      <c r="D58" s="111"/>
      <c r="E58" s="111"/>
      <c r="F58" s="111"/>
      <c r="G58" s="111"/>
      <c r="H58" s="111"/>
      <c r="I58" s="111"/>
      <c r="J58" s="111"/>
      <c r="K58" s="111"/>
      <c r="L58" s="111"/>
      <c r="M58" s="111"/>
    </row>
    <row r="59">
      <c r="C59" s="111"/>
      <c r="D59" s="111"/>
      <c r="E59" s="111"/>
      <c r="F59" s="111"/>
      <c r="G59" s="111"/>
      <c r="H59" s="111"/>
      <c r="I59" s="111"/>
      <c r="J59" s="111"/>
      <c r="K59" s="111"/>
      <c r="L59" s="111"/>
      <c r="M59" s="111"/>
    </row>
    <row r="60">
      <c r="C60" s="111"/>
      <c r="D60" s="111"/>
      <c r="E60" s="111"/>
      <c r="F60" s="111"/>
      <c r="G60" s="111"/>
      <c r="H60" s="111"/>
      <c r="I60" s="111"/>
      <c r="J60" s="111"/>
      <c r="K60" s="111"/>
      <c r="L60" s="111"/>
      <c r="M60" s="111"/>
    </row>
    <row r="61">
      <c r="C61" s="111"/>
      <c r="D61" s="111"/>
      <c r="E61" s="111"/>
      <c r="F61" s="111"/>
      <c r="G61" s="111"/>
      <c r="H61" s="111"/>
      <c r="I61" s="111"/>
      <c r="J61" s="111"/>
      <c r="K61" s="111"/>
      <c r="L61" s="111"/>
      <c r="M61" s="111"/>
    </row>
    <row r="62">
      <c r="C62" s="111"/>
      <c r="D62" s="111"/>
      <c r="E62" s="111"/>
      <c r="F62" s="111"/>
      <c r="G62" s="111"/>
      <c r="H62" s="111"/>
      <c r="I62" s="111"/>
      <c r="J62" s="111"/>
      <c r="K62" s="111"/>
      <c r="L62" s="111"/>
      <c r="M62" s="111"/>
    </row>
    <row r="63">
      <c r="C63" s="111"/>
      <c r="D63" s="111"/>
      <c r="E63" s="111"/>
      <c r="F63" s="111"/>
      <c r="G63" s="111"/>
      <c r="H63" s="111"/>
      <c r="I63" s="111"/>
      <c r="J63" s="111"/>
      <c r="K63" s="111"/>
      <c r="L63" s="111"/>
      <c r="M63" s="111"/>
    </row>
    <row r="64">
      <c r="C64" s="111"/>
      <c r="D64" s="111"/>
      <c r="E64" s="111"/>
      <c r="F64" s="111"/>
      <c r="G64" s="111"/>
      <c r="H64" s="111"/>
      <c r="I64" s="111"/>
      <c r="J64" s="111"/>
      <c r="K64" s="111"/>
      <c r="L64" s="111"/>
      <c r="M64" s="111"/>
    </row>
    <row r="65">
      <c r="C65" s="111"/>
      <c r="D65" s="111"/>
      <c r="E65" s="111"/>
      <c r="F65" s="111"/>
      <c r="G65" s="111"/>
      <c r="H65" s="111"/>
      <c r="I65" s="111"/>
      <c r="J65" s="111"/>
      <c r="K65" s="111"/>
      <c r="L65" s="111"/>
      <c r="M65" s="111"/>
    </row>
    <row r="66">
      <c r="C66" s="111"/>
      <c r="D66" s="111"/>
      <c r="E66" s="111"/>
      <c r="F66" s="111"/>
      <c r="G66" s="111"/>
      <c r="H66" s="111"/>
      <c r="I66" s="111"/>
      <c r="J66" s="111"/>
      <c r="K66" s="111"/>
      <c r="L66" s="111"/>
      <c r="M66" s="111"/>
    </row>
    <row r="67">
      <c r="C67" s="111"/>
      <c r="D67" s="111"/>
      <c r="E67" s="111"/>
      <c r="F67" s="111"/>
      <c r="G67" s="111"/>
      <c r="H67" s="111"/>
      <c r="I67" s="111"/>
      <c r="J67" s="111"/>
      <c r="K67" s="111"/>
      <c r="L67" s="111"/>
      <c r="M67" s="111"/>
    </row>
    <row r="68">
      <c r="C68" s="111"/>
      <c r="D68" s="111"/>
      <c r="E68" s="111"/>
      <c r="F68" s="111"/>
      <c r="G68" s="111"/>
      <c r="H68" s="111"/>
      <c r="I68" s="111"/>
      <c r="J68" s="111"/>
      <c r="K68" s="111"/>
      <c r="L68" s="111"/>
      <c r="M68" s="111"/>
    </row>
    <row r="69">
      <c r="C69" s="111"/>
      <c r="D69" s="111"/>
      <c r="E69" s="111"/>
      <c r="F69" s="111"/>
      <c r="G69" s="111"/>
      <c r="H69" s="111"/>
      <c r="I69" s="111"/>
      <c r="J69" s="111"/>
      <c r="K69" s="111"/>
      <c r="L69" s="111"/>
      <c r="M69" s="111"/>
    </row>
    <row r="70">
      <c r="C70" s="111"/>
      <c r="D70" s="111"/>
      <c r="E70" s="111"/>
      <c r="F70" s="111"/>
      <c r="G70" s="111"/>
      <c r="H70" s="111"/>
      <c r="I70" s="111"/>
      <c r="J70" s="111"/>
      <c r="K70" s="111"/>
      <c r="L70" s="111"/>
      <c r="M70" s="111"/>
    </row>
  </sheetData>
  <mergeCells count="6">
    <mergeCell ref="C25:F25"/>
    <mergeCell ref="G25:I25"/>
    <mergeCell ref="J25:M25"/>
    <mergeCell ref="C49:F49"/>
    <mergeCell ref="G49:I49"/>
    <mergeCell ref="J49:M4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1" t="s">
        <v>1795</v>
      </c>
    </row>
    <row r="2">
      <c r="B2" s="16"/>
      <c r="C2" s="17" t="s">
        <v>1628</v>
      </c>
      <c r="D2" s="18"/>
      <c r="E2" s="18"/>
      <c r="F2" s="21"/>
      <c r="G2" s="20" t="s">
        <v>1629</v>
      </c>
      <c r="H2" s="18"/>
      <c r="I2" s="21"/>
      <c r="N2" s="112"/>
      <c r="O2" s="112"/>
    </row>
    <row r="3">
      <c r="B3" s="22"/>
      <c r="C3" s="23" t="s">
        <v>56</v>
      </c>
      <c r="D3" s="23" t="s">
        <v>296</v>
      </c>
      <c r="E3" s="23" t="s">
        <v>180</v>
      </c>
      <c r="F3" s="23" t="s">
        <v>278</v>
      </c>
      <c r="G3" s="25" t="s">
        <v>149</v>
      </c>
      <c r="H3" s="23" t="s">
        <v>60</v>
      </c>
      <c r="I3" s="23" t="s">
        <v>1630</v>
      </c>
      <c r="J3" s="113">
        <v>45717.0</v>
      </c>
      <c r="N3" s="114"/>
      <c r="O3" s="112"/>
    </row>
    <row r="4">
      <c r="B4" s="26" t="s">
        <v>67</v>
      </c>
      <c r="C4" s="42">
        <v>12.0</v>
      </c>
      <c r="D4" s="27">
        <v>24.0</v>
      </c>
      <c r="E4" s="27">
        <v>5.0</v>
      </c>
      <c r="F4" s="43">
        <v>13.0</v>
      </c>
      <c r="G4" s="27">
        <v>41.0</v>
      </c>
      <c r="H4" s="27">
        <v>13.0</v>
      </c>
      <c r="I4" s="29">
        <v>54.0</v>
      </c>
      <c r="J4" s="29">
        <v>54.0</v>
      </c>
      <c r="N4" s="114"/>
      <c r="O4" s="112"/>
    </row>
    <row r="5">
      <c r="B5" s="30" t="s">
        <v>88</v>
      </c>
      <c r="C5" s="42">
        <v>9.0</v>
      </c>
      <c r="D5" s="27">
        <v>7.0</v>
      </c>
      <c r="E5" s="27">
        <v>6.0</v>
      </c>
      <c r="F5" s="43">
        <v>5.0</v>
      </c>
      <c r="G5" s="27">
        <v>11.0</v>
      </c>
      <c r="H5" s="27">
        <v>16.0</v>
      </c>
      <c r="I5" s="29">
        <v>27.0</v>
      </c>
      <c r="J5" s="29">
        <v>26.0</v>
      </c>
      <c r="N5" s="114"/>
      <c r="O5" s="112"/>
    </row>
    <row r="6">
      <c r="B6" s="30" t="s">
        <v>62</v>
      </c>
      <c r="C6" s="42">
        <v>16.0</v>
      </c>
      <c r="D6" s="27">
        <v>0.0</v>
      </c>
      <c r="E6" s="27">
        <v>18.0</v>
      </c>
      <c r="F6" s="43">
        <v>15.0</v>
      </c>
      <c r="G6" s="27">
        <v>1.0</v>
      </c>
      <c r="H6" s="27">
        <v>48.0</v>
      </c>
      <c r="I6" s="29">
        <v>49.0</v>
      </c>
      <c r="J6" s="29">
        <v>47.0</v>
      </c>
      <c r="N6" s="112"/>
      <c r="O6" s="112"/>
    </row>
    <row r="7">
      <c r="B7" s="30" t="s">
        <v>210</v>
      </c>
      <c r="C7" s="42">
        <v>1.0</v>
      </c>
      <c r="D7" s="27">
        <v>3.0</v>
      </c>
      <c r="E7" s="27">
        <v>1.0</v>
      </c>
      <c r="F7" s="43">
        <v>0.0</v>
      </c>
      <c r="G7" s="27">
        <v>3.0</v>
      </c>
      <c r="H7" s="27">
        <v>2.0</v>
      </c>
      <c r="I7" s="29">
        <v>5.0</v>
      </c>
      <c r="J7" s="29">
        <v>6.0</v>
      </c>
    </row>
    <row r="8">
      <c r="B8" s="23" t="s">
        <v>1630</v>
      </c>
      <c r="C8" s="23">
        <v>38.0</v>
      </c>
      <c r="D8" s="23">
        <v>34.0</v>
      </c>
      <c r="E8" s="23">
        <v>30.0</v>
      </c>
      <c r="F8" s="23">
        <v>33.0</v>
      </c>
      <c r="G8" s="25">
        <v>56.0</v>
      </c>
      <c r="H8" s="23">
        <v>79.0</v>
      </c>
      <c r="I8" s="23">
        <v>135.0</v>
      </c>
      <c r="J8" s="23">
        <f>SUM(J4:J7)</f>
        <v>133</v>
      </c>
    </row>
    <row r="29">
      <c r="A29" s="50"/>
      <c r="B29" s="21"/>
      <c r="C29" s="51" t="s">
        <v>9</v>
      </c>
      <c r="D29" s="36"/>
      <c r="E29" s="36"/>
      <c r="F29" s="37"/>
      <c r="G29" s="51" t="s">
        <v>10</v>
      </c>
      <c r="H29" s="36"/>
      <c r="I29" s="37"/>
    </row>
    <row r="30">
      <c r="A30" s="52"/>
      <c r="B30" s="53"/>
      <c r="C30" s="115" t="s">
        <v>56</v>
      </c>
      <c r="D30" s="116" t="s">
        <v>296</v>
      </c>
      <c r="E30" s="116" t="s">
        <v>180</v>
      </c>
      <c r="F30" s="116" t="s">
        <v>278</v>
      </c>
      <c r="G30" s="116" t="s">
        <v>149</v>
      </c>
      <c r="H30" s="116" t="s">
        <v>60</v>
      </c>
      <c r="I30" s="115" t="s">
        <v>1630</v>
      </c>
    </row>
    <row r="31">
      <c r="A31" s="56" t="s">
        <v>1795</v>
      </c>
      <c r="B31" s="117" t="s">
        <v>67</v>
      </c>
      <c r="C31" s="63">
        <v>0.316</v>
      </c>
      <c r="D31" s="63">
        <v>0.706</v>
      </c>
      <c r="E31" s="63">
        <v>0.167</v>
      </c>
      <c r="F31" s="63">
        <v>0.394</v>
      </c>
      <c r="G31" s="63">
        <v>0.732</v>
      </c>
      <c r="H31" s="63">
        <v>0.165</v>
      </c>
      <c r="I31" s="63">
        <v>0.4</v>
      </c>
    </row>
    <row r="32">
      <c r="A32" s="60"/>
      <c r="B32" s="117" t="s">
        <v>88</v>
      </c>
      <c r="C32" s="63">
        <v>0.237</v>
      </c>
      <c r="D32" s="63">
        <v>0.206</v>
      </c>
      <c r="E32" s="63">
        <v>0.2</v>
      </c>
      <c r="F32" s="63">
        <v>0.152</v>
      </c>
      <c r="G32" s="63">
        <v>0.196</v>
      </c>
      <c r="H32" s="63">
        <v>0.203</v>
      </c>
      <c r="I32" s="63">
        <v>0.2</v>
      </c>
    </row>
    <row r="33">
      <c r="A33" s="60"/>
      <c r="B33" s="117" t="s">
        <v>62</v>
      </c>
      <c r="C33" s="63">
        <v>0.421</v>
      </c>
      <c r="D33" s="63">
        <v>0.0</v>
      </c>
      <c r="E33" s="63">
        <v>0.6</v>
      </c>
      <c r="F33" s="63">
        <v>0.455</v>
      </c>
      <c r="G33" s="63">
        <v>0.018</v>
      </c>
      <c r="H33" s="63">
        <v>0.608</v>
      </c>
      <c r="I33" s="63">
        <v>0.363</v>
      </c>
    </row>
    <row r="34">
      <c r="A34" s="60"/>
      <c r="B34" s="117" t="s">
        <v>210</v>
      </c>
      <c r="C34" s="63">
        <v>0.026</v>
      </c>
      <c r="D34" s="63">
        <v>0.088</v>
      </c>
      <c r="E34" s="63">
        <v>0.033</v>
      </c>
      <c r="F34" s="63">
        <v>0.0</v>
      </c>
      <c r="G34" s="63">
        <v>0.054</v>
      </c>
      <c r="H34" s="63">
        <v>0.025</v>
      </c>
      <c r="I34" s="63">
        <v>0.037</v>
      </c>
    </row>
    <row r="35">
      <c r="A35" s="52"/>
      <c r="B35" s="118" t="s">
        <v>1630</v>
      </c>
      <c r="C35" s="66">
        <v>1.0</v>
      </c>
      <c r="D35" s="66">
        <v>1.0</v>
      </c>
      <c r="E35" s="66">
        <v>1.0</v>
      </c>
      <c r="F35" s="66">
        <v>1.0</v>
      </c>
      <c r="G35" s="66">
        <v>1.0</v>
      </c>
      <c r="H35" s="66">
        <v>1.0</v>
      </c>
      <c r="I35" s="66">
        <v>1.0</v>
      </c>
    </row>
  </sheetData>
  <mergeCells count="6">
    <mergeCell ref="C2:F2"/>
    <mergeCell ref="G2:I2"/>
    <mergeCell ref="A29:B30"/>
    <mergeCell ref="C29:F29"/>
    <mergeCell ref="G29:I29"/>
    <mergeCell ref="A31:A35"/>
  </mergeCells>
  <conditionalFormatting sqref="C4:C7">
    <cfRule type="colorScale" priority="1">
      <colorScale>
        <cfvo type="min"/>
        <cfvo type="max"/>
        <color rgb="FFFFFFFF"/>
        <color rgb="FFE67C73"/>
      </colorScale>
    </cfRule>
  </conditionalFormatting>
  <conditionalFormatting sqref="D4:D7">
    <cfRule type="colorScale" priority="2">
      <colorScale>
        <cfvo type="min"/>
        <cfvo type="max"/>
        <color rgb="FFFFFFFF"/>
        <color rgb="FFE67C73"/>
      </colorScale>
    </cfRule>
  </conditionalFormatting>
  <conditionalFormatting sqref="E4:E7">
    <cfRule type="colorScale" priority="3">
      <colorScale>
        <cfvo type="min"/>
        <cfvo type="max"/>
        <color rgb="FFFFFFFF"/>
        <color rgb="FFE67C73"/>
      </colorScale>
    </cfRule>
  </conditionalFormatting>
  <conditionalFormatting sqref="F4:F7">
    <cfRule type="colorScale" priority="4">
      <colorScale>
        <cfvo type="min"/>
        <cfvo type="max"/>
        <color rgb="FFFFFFFF"/>
        <color rgb="FFE67C73"/>
      </colorScale>
    </cfRule>
  </conditionalFormatting>
  <conditionalFormatting sqref="G4:G7">
    <cfRule type="colorScale" priority="5">
      <colorScale>
        <cfvo type="min"/>
        <cfvo type="max"/>
        <color rgb="FFFFFFFF"/>
        <color rgb="FFE67C73"/>
      </colorScale>
    </cfRule>
  </conditionalFormatting>
  <conditionalFormatting sqref="H4:H7">
    <cfRule type="colorScale" priority="6">
      <colorScale>
        <cfvo type="min"/>
        <cfvo type="max"/>
        <color rgb="FFFFFFFF"/>
        <color rgb="FFE67C73"/>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86"/>
    <col customWidth="1" min="2" max="2" width="61.71"/>
    <col customWidth="1" min="3" max="3" width="44.71"/>
    <col customWidth="1" min="4" max="4" width="46.43"/>
    <col customWidth="1" min="8" max="8" width="4.57"/>
    <col customWidth="1" min="9" max="9" width="43.71"/>
  </cols>
  <sheetData>
    <row r="1">
      <c r="A1" s="1" t="s">
        <v>1796</v>
      </c>
      <c r="C1" s="1" t="s">
        <v>1639</v>
      </c>
      <c r="D1" s="1" t="s">
        <v>1640</v>
      </c>
    </row>
    <row r="2">
      <c r="A2" s="72" t="s">
        <v>118</v>
      </c>
      <c r="C2" s="72" t="s">
        <v>1797</v>
      </c>
      <c r="D2" s="72" t="s">
        <v>1798</v>
      </c>
      <c r="I2" s="16"/>
      <c r="J2" s="17" t="s">
        <v>1628</v>
      </c>
      <c r="K2" s="18"/>
      <c r="L2" s="18"/>
      <c r="M2" s="19"/>
      <c r="N2" s="20" t="s">
        <v>1629</v>
      </c>
      <c r="O2" s="18"/>
      <c r="P2" s="21"/>
    </row>
    <row r="3">
      <c r="A3" s="72" t="s">
        <v>266</v>
      </c>
      <c r="C3" s="72" t="s">
        <v>1799</v>
      </c>
      <c r="D3" s="72" t="s">
        <v>1800</v>
      </c>
      <c r="I3" s="22"/>
      <c r="J3" s="23" t="s">
        <v>56</v>
      </c>
      <c r="K3" s="23" t="s">
        <v>296</v>
      </c>
      <c r="L3" s="23" t="s">
        <v>180</v>
      </c>
      <c r="M3" s="24" t="s">
        <v>278</v>
      </c>
      <c r="N3" s="25" t="s">
        <v>149</v>
      </c>
      <c r="O3" s="23" t="s">
        <v>60</v>
      </c>
      <c r="P3" s="23" t="s">
        <v>1630</v>
      </c>
    </row>
    <row r="4">
      <c r="A4" s="72" t="s">
        <v>94</v>
      </c>
      <c r="C4" s="72" t="s">
        <v>1801</v>
      </c>
      <c r="D4" s="72" t="s">
        <v>1802</v>
      </c>
      <c r="I4" s="30" t="s">
        <v>118</v>
      </c>
      <c r="J4" s="27">
        <v>11.0</v>
      </c>
      <c r="K4" s="27">
        <v>10.0</v>
      </c>
      <c r="L4" s="27">
        <v>8.0</v>
      </c>
      <c r="M4" s="27">
        <v>5.0</v>
      </c>
      <c r="N4" s="27">
        <v>14.0</v>
      </c>
      <c r="O4" s="27">
        <v>20.0</v>
      </c>
      <c r="P4" s="29">
        <v>34.0</v>
      </c>
    </row>
    <row r="5">
      <c r="A5" s="72" t="s">
        <v>1006</v>
      </c>
      <c r="C5" s="72" t="s">
        <v>1803</v>
      </c>
      <c r="D5" s="72" t="s">
        <v>1804</v>
      </c>
      <c r="I5" s="30" t="s">
        <v>194</v>
      </c>
      <c r="J5" s="27">
        <v>3.0</v>
      </c>
      <c r="K5" s="27">
        <v>12.0</v>
      </c>
      <c r="L5" s="27">
        <v>9.0</v>
      </c>
      <c r="M5" s="27">
        <v>8.0</v>
      </c>
      <c r="N5" s="27">
        <v>16.0</v>
      </c>
      <c r="O5" s="27">
        <v>16.0</v>
      </c>
      <c r="P5" s="29">
        <v>32.0</v>
      </c>
    </row>
    <row r="6">
      <c r="A6" s="72" t="s">
        <v>194</v>
      </c>
      <c r="C6" s="72" t="s">
        <v>1805</v>
      </c>
      <c r="D6" s="72" t="s">
        <v>1806</v>
      </c>
      <c r="I6" s="30" t="s">
        <v>94</v>
      </c>
      <c r="J6" s="27">
        <v>7.0</v>
      </c>
      <c r="K6" s="27">
        <v>8.0</v>
      </c>
      <c r="L6" s="27">
        <v>2.0</v>
      </c>
      <c r="M6" s="27">
        <v>11.0</v>
      </c>
      <c r="N6" s="27">
        <v>21.0</v>
      </c>
      <c r="O6" s="27">
        <v>7.0</v>
      </c>
      <c r="P6" s="29">
        <v>28.0</v>
      </c>
    </row>
    <row r="7">
      <c r="A7" s="72" t="s">
        <v>251</v>
      </c>
      <c r="C7" s="72" t="s">
        <v>1807</v>
      </c>
      <c r="D7" s="72" t="s">
        <v>312</v>
      </c>
      <c r="I7" s="30" t="s">
        <v>266</v>
      </c>
      <c r="J7" s="27">
        <v>10.0</v>
      </c>
      <c r="K7" s="27">
        <v>1.0</v>
      </c>
      <c r="L7" s="27">
        <v>7.0</v>
      </c>
      <c r="M7" s="27">
        <v>3.0</v>
      </c>
      <c r="N7" s="27">
        <v>1.0</v>
      </c>
      <c r="O7" s="27">
        <v>20.0</v>
      </c>
      <c r="P7" s="29">
        <v>21.0</v>
      </c>
    </row>
    <row r="8">
      <c r="A8" s="72" t="s">
        <v>69</v>
      </c>
      <c r="C8" s="72" t="s">
        <v>1808</v>
      </c>
      <c r="D8" s="72" t="s">
        <v>1809</v>
      </c>
      <c r="I8" s="30" t="s">
        <v>69</v>
      </c>
      <c r="J8" s="27">
        <v>4.0</v>
      </c>
      <c r="K8" s="27">
        <v>2.0</v>
      </c>
      <c r="L8" s="27">
        <v>2.0</v>
      </c>
      <c r="M8" s="27">
        <v>6.0</v>
      </c>
      <c r="N8" s="27">
        <v>2.0</v>
      </c>
      <c r="O8" s="27">
        <v>12.0</v>
      </c>
      <c r="P8" s="29">
        <v>14.0</v>
      </c>
    </row>
    <row r="9">
      <c r="I9" s="30" t="s">
        <v>251</v>
      </c>
      <c r="J9" s="27">
        <v>2.0</v>
      </c>
      <c r="K9" s="27">
        <v>0.0</v>
      </c>
      <c r="L9" s="27">
        <v>1.0</v>
      </c>
      <c r="M9" s="27">
        <v>0.0</v>
      </c>
      <c r="N9" s="27">
        <v>1.0</v>
      </c>
      <c r="O9" s="27">
        <v>2.0</v>
      </c>
      <c r="P9" s="29">
        <v>3.0</v>
      </c>
    </row>
    <row r="10">
      <c r="I10" s="30" t="s">
        <v>1006</v>
      </c>
      <c r="J10" s="27">
        <v>1.0</v>
      </c>
      <c r="K10" s="27">
        <v>1.0</v>
      </c>
      <c r="L10" s="27">
        <v>1.0</v>
      </c>
      <c r="M10" s="27">
        <v>0.0</v>
      </c>
      <c r="N10" s="27">
        <v>1.0</v>
      </c>
      <c r="O10" s="27">
        <v>2.0</v>
      </c>
      <c r="P10" s="29">
        <v>3.0</v>
      </c>
    </row>
    <row r="11">
      <c r="A11" s="75" t="s">
        <v>118</v>
      </c>
      <c r="H11" s="72"/>
      <c r="I11" s="23" t="s">
        <v>1630</v>
      </c>
      <c r="J11" s="23">
        <v>38.0</v>
      </c>
      <c r="K11" s="23">
        <v>34.0</v>
      </c>
      <c r="L11" s="23">
        <v>30.0</v>
      </c>
      <c r="M11" s="23">
        <v>33.0</v>
      </c>
      <c r="N11" s="23">
        <v>56.0</v>
      </c>
      <c r="O11" s="23">
        <v>79.0</v>
      </c>
      <c r="P11" s="23">
        <v>135.0</v>
      </c>
    </row>
    <row r="12">
      <c r="A12" s="76"/>
      <c r="B12" s="77"/>
      <c r="C12" s="78"/>
    </row>
    <row r="13">
      <c r="A13" s="78"/>
      <c r="B13" s="78"/>
      <c r="C13" s="78"/>
      <c r="H13" s="72"/>
      <c r="I13" s="16"/>
      <c r="J13" s="17" t="s">
        <v>1628</v>
      </c>
      <c r="K13" s="18"/>
      <c r="L13" s="18"/>
      <c r="M13" s="19"/>
      <c r="N13" s="20" t="s">
        <v>1629</v>
      </c>
      <c r="O13" s="18"/>
      <c r="P13" s="21"/>
    </row>
    <row r="14">
      <c r="A14" s="81" t="s">
        <v>1668</v>
      </c>
      <c r="B14" s="81" t="s">
        <v>1669</v>
      </c>
      <c r="C14" s="81" t="s">
        <v>1670</v>
      </c>
      <c r="H14" s="72"/>
      <c r="I14" s="22"/>
      <c r="J14" s="23" t="s">
        <v>56</v>
      </c>
      <c r="K14" s="23" t="s">
        <v>296</v>
      </c>
      <c r="L14" s="23" t="s">
        <v>180</v>
      </c>
      <c r="M14" s="24" t="s">
        <v>278</v>
      </c>
      <c r="N14" s="25" t="s">
        <v>149</v>
      </c>
      <c r="O14" s="23" t="s">
        <v>60</v>
      </c>
      <c r="P14" s="23" t="s">
        <v>1630</v>
      </c>
    </row>
    <row r="15">
      <c r="A15" s="77" t="s">
        <v>536</v>
      </c>
      <c r="B15" s="77" t="s">
        <v>1810</v>
      </c>
      <c r="C15" s="77" t="s">
        <v>1811</v>
      </c>
      <c r="H15" s="72"/>
      <c r="I15" s="79" t="s">
        <v>118</v>
      </c>
      <c r="J15" s="80">
        <v>11.0</v>
      </c>
      <c r="K15" s="80">
        <v>10.0</v>
      </c>
      <c r="L15" s="80">
        <v>8.0</v>
      </c>
      <c r="M15" s="80">
        <v>5.0</v>
      </c>
      <c r="N15" s="80">
        <v>14.0</v>
      </c>
      <c r="O15" s="80">
        <v>20.0</v>
      </c>
      <c r="P15" s="80">
        <v>34.0</v>
      </c>
    </row>
    <row r="16">
      <c r="A16" s="77" t="s">
        <v>440</v>
      </c>
      <c r="B16" s="77" t="s">
        <v>1812</v>
      </c>
      <c r="C16" s="77" t="s">
        <v>1813</v>
      </c>
      <c r="H16" s="72"/>
      <c r="I16" s="72" t="s">
        <v>119</v>
      </c>
      <c r="J16" s="83">
        <v>6.0</v>
      </c>
      <c r="K16" s="83">
        <v>3.0</v>
      </c>
      <c r="L16" s="83">
        <v>4.0</v>
      </c>
      <c r="M16" s="83">
        <v>4.0</v>
      </c>
      <c r="N16" s="83">
        <v>5.0</v>
      </c>
      <c r="O16" s="83">
        <v>12.0</v>
      </c>
      <c r="P16" s="83">
        <v>17.0</v>
      </c>
    </row>
    <row r="17">
      <c r="A17" s="77" t="s">
        <v>119</v>
      </c>
      <c r="B17" s="77" t="s">
        <v>1814</v>
      </c>
      <c r="C17" s="77" t="s">
        <v>1815</v>
      </c>
      <c r="I17" s="72" t="s">
        <v>536</v>
      </c>
      <c r="J17" s="83">
        <v>2.0</v>
      </c>
      <c r="K17" s="83">
        <v>7.0</v>
      </c>
      <c r="L17" s="83">
        <v>2.0</v>
      </c>
      <c r="M17" s="83">
        <v>1.0</v>
      </c>
      <c r="N17" s="83">
        <v>9.0</v>
      </c>
      <c r="O17" s="83">
        <v>3.0</v>
      </c>
      <c r="P17" s="83">
        <v>12.0</v>
      </c>
    </row>
    <row r="18">
      <c r="A18" s="78"/>
      <c r="B18" s="78"/>
      <c r="C18" s="78"/>
      <c r="H18" s="72"/>
      <c r="I18" s="72" t="s">
        <v>440</v>
      </c>
      <c r="J18" s="83">
        <v>3.0</v>
      </c>
      <c r="K18" s="83">
        <v>0.0</v>
      </c>
      <c r="L18" s="83">
        <v>2.0</v>
      </c>
      <c r="M18" s="83">
        <v>0.0</v>
      </c>
      <c r="N18" s="83">
        <v>0.0</v>
      </c>
      <c r="O18" s="83">
        <v>5.0</v>
      </c>
      <c r="P18" s="83">
        <v>5.0</v>
      </c>
    </row>
    <row r="19">
      <c r="A19" s="78"/>
      <c r="B19" s="78"/>
      <c r="C19" s="78"/>
      <c r="H19" s="72"/>
      <c r="I19" s="23" t="s">
        <v>1674</v>
      </c>
      <c r="J19" s="23">
        <v>11.0</v>
      </c>
      <c r="K19" s="23">
        <v>10.0</v>
      </c>
      <c r="L19" s="23">
        <v>8.0</v>
      </c>
      <c r="M19" s="23">
        <v>5.0</v>
      </c>
      <c r="N19" s="23">
        <v>14.0</v>
      </c>
      <c r="O19" s="23">
        <v>20.0</v>
      </c>
      <c r="P19" s="23">
        <v>34.0</v>
      </c>
    </row>
    <row r="20">
      <c r="A20" s="75" t="s">
        <v>266</v>
      </c>
      <c r="H20" s="72"/>
      <c r="I20" s="79" t="s">
        <v>194</v>
      </c>
      <c r="J20" s="80">
        <v>3.0</v>
      </c>
      <c r="K20" s="80">
        <v>12.0</v>
      </c>
      <c r="L20" s="80">
        <v>9.0</v>
      </c>
      <c r="M20" s="80">
        <v>8.0</v>
      </c>
      <c r="N20" s="80">
        <v>16.0</v>
      </c>
      <c r="O20" s="80">
        <v>16.0</v>
      </c>
      <c r="P20" s="80">
        <v>32.0</v>
      </c>
    </row>
    <row r="21">
      <c r="A21" s="76"/>
      <c r="B21" s="77"/>
      <c r="C21" s="78"/>
      <c r="H21" s="72"/>
      <c r="I21" s="72" t="s">
        <v>195</v>
      </c>
      <c r="J21" s="83">
        <v>0.0</v>
      </c>
      <c r="K21" s="83">
        <v>4.0</v>
      </c>
      <c r="L21" s="83">
        <v>6.0</v>
      </c>
      <c r="M21" s="83">
        <v>3.0</v>
      </c>
      <c r="N21" s="83">
        <v>5.0</v>
      </c>
      <c r="O21" s="83">
        <v>8.0</v>
      </c>
      <c r="P21" s="83">
        <v>13.0</v>
      </c>
    </row>
    <row r="22">
      <c r="A22" s="78"/>
      <c r="B22" s="78"/>
      <c r="C22" s="78"/>
      <c r="H22" s="72"/>
      <c r="I22" s="72" t="s">
        <v>212</v>
      </c>
      <c r="J22" s="83">
        <v>2.0</v>
      </c>
      <c r="K22" s="83">
        <v>1.0</v>
      </c>
      <c r="L22" s="83">
        <v>3.0</v>
      </c>
      <c r="M22" s="83">
        <v>4.0</v>
      </c>
      <c r="N22" s="83">
        <v>2.0</v>
      </c>
      <c r="O22" s="83">
        <v>8.0</v>
      </c>
      <c r="P22" s="83">
        <v>10.0</v>
      </c>
    </row>
    <row r="23">
      <c r="A23" s="81" t="s">
        <v>1668</v>
      </c>
      <c r="B23" s="81" t="s">
        <v>1669</v>
      </c>
      <c r="C23" s="81" t="s">
        <v>1670</v>
      </c>
      <c r="I23" s="72" t="s">
        <v>748</v>
      </c>
      <c r="J23" s="83">
        <v>1.0</v>
      </c>
      <c r="K23" s="83">
        <v>5.0</v>
      </c>
      <c r="L23" s="83">
        <v>0.0</v>
      </c>
      <c r="M23" s="83">
        <v>1.0</v>
      </c>
      <c r="N23" s="83">
        <v>7.0</v>
      </c>
      <c r="O23" s="83">
        <v>0.0</v>
      </c>
      <c r="P23" s="83">
        <v>7.0</v>
      </c>
    </row>
    <row r="24">
      <c r="A24" s="77" t="s">
        <v>314</v>
      </c>
      <c r="B24" s="77" t="s">
        <v>1816</v>
      </c>
      <c r="C24" s="77" t="s">
        <v>1817</v>
      </c>
      <c r="H24" s="72"/>
      <c r="I24" s="72" t="s">
        <v>464</v>
      </c>
      <c r="J24" s="83">
        <v>0.0</v>
      </c>
      <c r="K24" s="83">
        <v>2.0</v>
      </c>
      <c r="L24" s="83">
        <v>0.0</v>
      </c>
      <c r="M24" s="83">
        <v>0.0</v>
      </c>
      <c r="N24" s="83">
        <v>2.0</v>
      </c>
      <c r="O24" s="83">
        <v>0.0</v>
      </c>
      <c r="P24" s="83">
        <v>2.0</v>
      </c>
    </row>
    <row r="25">
      <c r="A25" s="77" t="s">
        <v>267</v>
      </c>
      <c r="B25" s="77" t="s">
        <v>1818</v>
      </c>
      <c r="C25" s="77" t="s">
        <v>1819</v>
      </c>
      <c r="H25" s="72"/>
      <c r="I25" s="23" t="s">
        <v>1674</v>
      </c>
      <c r="J25" s="23">
        <v>3.0</v>
      </c>
      <c r="K25" s="23">
        <v>12.0</v>
      </c>
      <c r="L25" s="23">
        <v>9.0</v>
      </c>
      <c r="M25" s="23">
        <v>8.0</v>
      </c>
      <c r="N25" s="23">
        <v>16.0</v>
      </c>
      <c r="O25" s="23">
        <v>16.0</v>
      </c>
      <c r="P25" s="23">
        <v>32.0</v>
      </c>
    </row>
    <row r="26">
      <c r="A26" s="77" t="s">
        <v>413</v>
      </c>
      <c r="B26" s="77" t="s">
        <v>1820</v>
      </c>
      <c r="C26" s="77" t="s">
        <v>1821</v>
      </c>
      <c r="H26" s="72"/>
      <c r="I26" s="79" t="s">
        <v>94</v>
      </c>
      <c r="J26" s="80">
        <v>7.0</v>
      </c>
      <c r="K26" s="80">
        <v>8.0</v>
      </c>
      <c r="L26" s="80">
        <v>2.0</v>
      </c>
      <c r="M26" s="80">
        <v>11.0</v>
      </c>
      <c r="N26" s="80">
        <v>21.0</v>
      </c>
      <c r="O26" s="80">
        <v>7.0</v>
      </c>
      <c r="P26" s="80">
        <v>28.0</v>
      </c>
    </row>
    <row r="27">
      <c r="A27" s="77" t="s">
        <v>1069</v>
      </c>
      <c r="B27" s="77" t="s">
        <v>1822</v>
      </c>
      <c r="C27" s="77" t="s">
        <v>1823</v>
      </c>
      <c r="H27" s="72"/>
      <c r="I27" s="72" t="s">
        <v>283</v>
      </c>
      <c r="J27" s="83">
        <v>2.0</v>
      </c>
      <c r="K27" s="83">
        <v>4.0</v>
      </c>
      <c r="L27" s="83">
        <v>1.0</v>
      </c>
      <c r="M27" s="83">
        <v>11.0</v>
      </c>
      <c r="N27" s="83">
        <v>14.0</v>
      </c>
      <c r="O27" s="83">
        <v>4.0</v>
      </c>
      <c r="P27" s="83">
        <v>18.0</v>
      </c>
    </row>
    <row r="28">
      <c r="A28" s="78"/>
      <c r="B28" s="78"/>
      <c r="C28" s="78"/>
      <c r="I28" s="72" t="s">
        <v>154</v>
      </c>
      <c r="J28" s="83">
        <v>2.0</v>
      </c>
      <c r="K28" s="83">
        <v>4.0</v>
      </c>
      <c r="L28" s="83">
        <v>1.0</v>
      </c>
      <c r="M28" s="83">
        <v>0.0</v>
      </c>
      <c r="N28" s="83">
        <v>6.0</v>
      </c>
      <c r="O28" s="83">
        <v>1.0</v>
      </c>
      <c r="P28" s="83">
        <v>7.0</v>
      </c>
    </row>
    <row r="29">
      <c r="A29" s="78"/>
      <c r="B29" s="78"/>
      <c r="C29" s="78"/>
      <c r="H29" s="72"/>
      <c r="I29" s="72" t="s">
        <v>941</v>
      </c>
      <c r="J29" s="83">
        <v>2.0</v>
      </c>
      <c r="K29" s="83">
        <v>0.0</v>
      </c>
      <c r="L29" s="83">
        <v>0.0</v>
      </c>
      <c r="M29" s="83">
        <v>0.0</v>
      </c>
      <c r="N29" s="83">
        <v>1.0</v>
      </c>
      <c r="O29" s="83">
        <v>1.0</v>
      </c>
      <c r="P29" s="83">
        <v>2.0</v>
      </c>
    </row>
    <row r="30">
      <c r="A30" s="75" t="s">
        <v>94</v>
      </c>
      <c r="H30" s="72"/>
      <c r="I30" s="119" t="s">
        <v>95</v>
      </c>
      <c r="J30" s="91">
        <v>1.0</v>
      </c>
      <c r="K30" s="91">
        <v>0.0</v>
      </c>
      <c r="L30" s="91">
        <v>0.0</v>
      </c>
      <c r="M30" s="91">
        <v>0.0</v>
      </c>
      <c r="N30" s="91">
        <v>0.0</v>
      </c>
      <c r="O30" s="91">
        <v>1.0</v>
      </c>
      <c r="P30" s="91">
        <v>1.0</v>
      </c>
    </row>
    <row r="31">
      <c r="A31" s="76"/>
      <c r="B31" s="77"/>
      <c r="C31" s="78"/>
      <c r="H31" s="72"/>
      <c r="I31" s="85" t="s">
        <v>1674</v>
      </c>
      <c r="J31" s="85">
        <v>7.0</v>
      </c>
      <c r="K31" s="85">
        <v>8.0</v>
      </c>
      <c r="L31" s="85">
        <v>2.0</v>
      </c>
      <c r="M31" s="85">
        <v>11.0</v>
      </c>
      <c r="N31" s="85">
        <v>21.0</v>
      </c>
      <c r="O31" s="85">
        <v>7.0</v>
      </c>
      <c r="P31" s="85">
        <v>28.0</v>
      </c>
    </row>
    <row r="32">
      <c r="A32" s="78"/>
      <c r="B32" s="78"/>
      <c r="C32" s="78"/>
      <c r="H32" s="72"/>
      <c r="I32" s="79" t="s">
        <v>266</v>
      </c>
      <c r="J32" s="80">
        <v>10.0</v>
      </c>
      <c r="K32" s="80">
        <v>1.0</v>
      </c>
      <c r="L32" s="80">
        <v>7.0</v>
      </c>
      <c r="M32" s="80">
        <v>3.0</v>
      </c>
      <c r="N32" s="80">
        <v>1.0</v>
      </c>
      <c r="O32" s="80">
        <v>20.0</v>
      </c>
      <c r="P32" s="80">
        <v>21.0</v>
      </c>
    </row>
    <row r="33">
      <c r="A33" s="81" t="s">
        <v>1668</v>
      </c>
      <c r="B33" s="81" t="s">
        <v>1669</v>
      </c>
      <c r="C33" s="81" t="s">
        <v>1670</v>
      </c>
      <c r="H33" s="72"/>
      <c r="I33" s="72" t="s">
        <v>314</v>
      </c>
      <c r="J33" s="83">
        <v>6.0</v>
      </c>
      <c r="K33" s="83">
        <v>0.0</v>
      </c>
      <c r="L33" s="83">
        <v>3.0</v>
      </c>
      <c r="M33" s="83">
        <v>2.0</v>
      </c>
      <c r="N33" s="83">
        <v>0.0</v>
      </c>
      <c r="O33" s="83">
        <v>11.0</v>
      </c>
      <c r="P33" s="83">
        <v>11.0</v>
      </c>
    </row>
    <row r="34">
      <c r="A34" s="77" t="s">
        <v>283</v>
      </c>
      <c r="B34" s="77" t="s">
        <v>1824</v>
      </c>
      <c r="C34" s="77" t="s">
        <v>339</v>
      </c>
      <c r="I34" s="72" t="s">
        <v>267</v>
      </c>
      <c r="J34" s="83">
        <v>2.0</v>
      </c>
      <c r="K34" s="83">
        <v>0.0</v>
      </c>
      <c r="L34" s="83">
        <v>2.0</v>
      </c>
      <c r="M34" s="83">
        <v>0.0</v>
      </c>
      <c r="N34" s="83">
        <v>0.0</v>
      </c>
      <c r="O34" s="83">
        <v>4.0</v>
      </c>
      <c r="P34" s="83">
        <v>4.0</v>
      </c>
    </row>
    <row r="35">
      <c r="A35" s="77" t="s">
        <v>154</v>
      </c>
      <c r="B35" s="77" t="s">
        <v>1825</v>
      </c>
      <c r="C35" s="77" t="s">
        <v>1802</v>
      </c>
      <c r="H35" s="72"/>
      <c r="I35" s="72" t="s">
        <v>1069</v>
      </c>
      <c r="J35" s="83">
        <v>2.0</v>
      </c>
      <c r="K35" s="83">
        <v>1.0</v>
      </c>
      <c r="L35" s="83">
        <v>1.0</v>
      </c>
      <c r="M35" s="83">
        <v>0.0</v>
      </c>
      <c r="N35" s="83">
        <v>1.0</v>
      </c>
      <c r="O35" s="83">
        <v>3.0</v>
      </c>
      <c r="P35" s="83">
        <v>4.0</v>
      </c>
    </row>
    <row r="36">
      <c r="A36" s="77" t="s">
        <v>1826</v>
      </c>
      <c r="B36" s="77" t="s">
        <v>1827</v>
      </c>
      <c r="C36" s="77" t="s">
        <v>1828</v>
      </c>
      <c r="H36" s="72"/>
      <c r="I36" s="119" t="s">
        <v>413</v>
      </c>
      <c r="J36" s="91">
        <v>0.0</v>
      </c>
      <c r="K36" s="91">
        <v>0.0</v>
      </c>
      <c r="L36" s="91">
        <v>1.0</v>
      </c>
      <c r="M36" s="91">
        <v>1.0</v>
      </c>
      <c r="N36" s="91">
        <v>0.0</v>
      </c>
      <c r="O36" s="91">
        <v>2.0</v>
      </c>
      <c r="P36" s="91">
        <v>2.0</v>
      </c>
    </row>
    <row r="37">
      <c r="A37" s="77" t="s">
        <v>95</v>
      </c>
      <c r="B37" s="77" t="s">
        <v>1829</v>
      </c>
      <c r="C37" s="77" t="s">
        <v>1830</v>
      </c>
      <c r="I37" s="85" t="s">
        <v>1674</v>
      </c>
      <c r="J37" s="85">
        <v>10.0</v>
      </c>
      <c r="K37" s="85">
        <v>1.0</v>
      </c>
      <c r="L37" s="85">
        <v>7.0</v>
      </c>
      <c r="M37" s="85">
        <v>3.0</v>
      </c>
      <c r="N37" s="85">
        <v>1.0</v>
      </c>
      <c r="O37" s="85">
        <v>20.0</v>
      </c>
      <c r="P37" s="85">
        <v>21.0</v>
      </c>
    </row>
    <row r="38">
      <c r="A38" s="77" t="s">
        <v>941</v>
      </c>
      <c r="B38" s="77" t="s">
        <v>1831</v>
      </c>
      <c r="C38" s="77" t="s">
        <v>1832</v>
      </c>
      <c r="H38" s="72"/>
      <c r="I38" s="79" t="s">
        <v>69</v>
      </c>
      <c r="J38" s="80">
        <v>4.0</v>
      </c>
      <c r="K38" s="80">
        <v>2.0</v>
      </c>
      <c r="L38" s="80">
        <v>2.0</v>
      </c>
      <c r="M38" s="80">
        <v>6.0</v>
      </c>
      <c r="N38" s="80">
        <v>2.0</v>
      </c>
      <c r="O38" s="80">
        <v>12.0</v>
      </c>
      <c r="P38" s="80">
        <v>14.0</v>
      </c>
    </row>
    <row r="39">
      <c r="A39" s="78"/>
      <c r="B39" s="78"/>
      <c r="C39" s="78"/>
      <c r="H39" s="72"/>
      <c r="I39" s="119" t="s">
        <v>236</v>
      </c>
      <c r="J39" s="91">
        <v>1.0</v>
      </c>
      <c r="K39" s="91">
        <v>0.0</v>
      </c>
      <c r="L39" s="91">
        <v>1.0</v>
      </c>
      <c r="M39" s="91">
        <v>6.0</v>
      </c>
      <c r="N39" s="91">
        <v>0.0</v>
      </c>
      <c r="O39" s="91">
        <v>8.0</v>
      </c>
      <c r="P39" s="91">
        <v>8.0</v>
      </c>
    </row>
    <row r="40">
      <c r="A40" s="78"/>
      <c r="B40" s="78"/>
      <c r="C40" s="78"/>
      <c r="H40" s="72"/>
      <c r="I40" s="72" t="s">
        <v>70</v>
      </c>
      <c r="J40" s="83">
        <v>3.0</v>
      </c>
      <c r="K40" s="83">
        <v>2.0</v>
      </c>
      <c r="L40" s="83">
        <v>0.0</v>
      </c>
      <c r="M40" s="83">
        <v>0.0</v>
      </c>
      <c r="N40" s="83">
        <v>2.0</v>
      </c>
      <c r="O40" s="83">
        <v>3.0</v>
      </c>
      <c r="P40" s="83">
        <v>5.0</v>
      </c>
    </row>
    <row r="41">
      <c r="A41" s="75" t="s">
        <v>1006</v>
      </c>
      <c r="H41" s="72"/>
      <c r="I41" s="72" t="s">
        <v>1517</v>
      </c>
      <c r="J41" s="83">
        <v>0.0</v>
      </c>
      <c r="K41" s="83">
        <v>0.0</v>
      </c>
      <c r="L41" s="83">
        <v>1.0</v>
      </c>
      <c r="M41" s="83">
        <v>0.0</v>
      </c>
      <c r="N41" s="83">
        <v>0.0</v>
      </c>
      <c r="O41" s="83">
        <v>1.0</v>
      </c>
      <c r="P41" s="83">
        <v>1.0</v>
      </c>
    </row>
    <row r="42">
      <c r="A42" s="76"/>
      <c r="B42" s="77"/>
      <c r="C42" s="78"/>
      <c r="H42" s="72"/>
      <c r="I42" s="85" t="s">
        <v>1674</v>
      </c>
      <c r="J42" s="85">
        <v>4.0</v>
      </c>
      <c r="K42" s="85">
        <v>2.0</v>
      </c>
      <c r="L42" s="85">
        <v>2.0</v>
      </c>
      <c r="M42" s="85">
        <v>6.0</v>
      </c>
      <c r="N42" s="85">
        <v>2.0</v>
      </c>
      <c r="O42" s="85">
        <v>12.0</v>
      </c>
      <c r="P42" s="85">
        <v>14.0</v>
      </c>
    </row>
    <row r="43">
      <c r="A43" s="78"/>
      <c r="B43" s="78"/>
      <c r="C43" s="78"/>
      <c r="I43" s="79" t="s">
        <v>251</v>
      </c>
      <c r="J43" s="80">
        <v>2.0</v>
      </c>
      <c r="K43" s="80">
        <v>0.0</v>
      </c>
      <c r="L43" s="80">
        <v>1.0</v>
      </c>
      <c r="M43" s="80">
        <v>0.0</v>
      </c>
      <c r="N43" s="80">
        <v>1.0</v>
      </c>
      <c r="O43" s="80">
        <v>2.0</v>
      </c>
      <c r="P43" s="80">
        <v>3.0</v>
      </c>
    </row>
    <row r="44">
      <c r="A44" s="81" t="s">
        <v>1668</v>
      </c>
      <c r="B44" s="81" t="s">
        <v>1669</v>
      </c>
      <c r="C44" s="81" t="s">
        <v>1670</v>
      </c>
      <c r="H44" s="72"/>
      <c r="I44" s="72" t="s">
        <v>252</v>
      </c>
      <c r="J44" s="83">
        <v>2.0</v>
      </c>
      <c r="K44" s="83">
        <v>0.0</v>
      </c>
      <c r="L44" s="83">
        <v>1.0</v>
      </c>
      <c r="M44" s="83">
        <v>0.0</v>
      </c>
      <c r="N44" s="83">
        <v>1.0</v>
      </c>
      <c r="O44" s="83">
        <v>2.0</v>
      </c>
      <c r="P44" s="83">
        <v>3.0</v>
      </c>
    </row>
    <row r="45">
      <c r="A45" s="77" t="s">
        <v>1007</v>
      </c>
      <c r="B45" s="77" t="s">
        <v>1833</v>
      </c>
      <c r="C45" s="77" t="s">
        <v>1834</v>
      </c>
      <c r="H45" s="72"/>
      <c r="I45" s="23" t="s">
        <v>1674</v>
      </c>
      <c r="J45" s="23">
        <v>2.0</v>
      </c>
      <c r="K45" s="23">
        <v>0.0</v>
      </c>
      <c r="L45" s="23">
        <v>1.0</v>
      </c>
      <c r="M45" s="23">
        <v>0.0</v>
      </c>
      <c r="N45" s="23">
        <v>1.0</v>
      </c>
      <c r="O45" s="23">
        <v>2.0</v>
      </c>
      <c r="P45" s="23">
        <v>3.0</v>
      </c>
    </row>
    <row r="46">
      <c r="A46" s="77" t="s">
        <v>1456</v>
      </c>
      <c r="B46" s="77" t="s">
        <v>1835</v>
      </c>
      <c r="C46" s="77" t="s">
        <v>1836</v>
      </c>
      <c r="H46" s="72"/>
      <c r="I46" s="79" t="s">
        <v>1006</v>
      </c>
      <c r="J46" s="80">
        <v>1.0</v>
      </c>
      <c r="K46" s="80">
        <v>1.0</v>
      </c>
      <c r="L46" s="80">
        <v>1.0</v>
      </c>
      <c r="M46" s="80">
        <v>0.0</v>
      </c>
      <c r="N46" s="80">
        <v>1.0</v>
      </c>
      <c r="O46" s="80">
        <v>2.0</v>
      </c>
      <c r="P46" s="80">
        <v>3.0</v>
      </c>
    </row>
    <row r="47">
      <c r="A47" s="77" t="s">
        <v>1837</v>
      </c>
      <c r="B47" s="77" t="s">
        <v>1838</v>
      </c>
      <c r="C47" s="77" t="s">
        <v>1839</v>
      </c>
      <c r="I47" s="72" t="s">
        <v>1456</v>
      </c>
      <c r="J47" s="83">
        <v>1.0</v>
      </c>
      <c r="K47" s="83">
        <v>0.0</v>
      </c>
      <c r="L47" s="83">
        <v>1.0</v>
      </c>
      <c r="M47" s="83">
        <v>0.0</v>
      </c>
      <c r="N47" s="83">
        <v>0.0</v>
      </c>
      <c r="O47" s="83">
        <v>2.0</v>
      </c>
      <c r="P47" s="83">
        <v>2.0</v>
      </c>
    </row>
    <row r="48">
      <c r="A48" s="77" t="s">
        <v>1840</v>
      </c>
      <c r="B48" s="77" t="s">
        <v>1841</v>
      </c>
      <c r="C48" s="77" t="s">
        <v>1842</v>
      </c>
      <c r="I48" s="72" t="s">
        <v>1007</v>
      </c>
      <c r="J48" s="83">
        <v>0.0</v>
      </c>
      <c r="K48" s="83">
        <v>1.0</v>
      </c>
      <c r="L48" s="83">
        <v>0.0</v>
      </c>
      <c r="M48" s="83">
        <v>0.0</v>
      </c>
      <c r="N48" s="83">
        <v>1.0</v>
      </c>
      <c r="O48" s="83">
        <v>0.0</v>
      </c>
      <c r="P48" s="83">
        <v>1.0</v>
      </c>
    </row>
    <row r="49">
      <c r="A49" s="78"/>
      <c r="B49" s="78"/>
      <c r="C49" s="78"/>
      <c r="I49" s="23" t="s">
        <v>1674</v>
      </c>
      <c r="J49" s="23">
        <v>1.0</v>
      </c>
      <c r="K49" s="23">
        <v>1.0</v>
      </c>
      <c r="L49" s="23">
        <v>1.0</v>
      </c>
      <c r="M49" s="23">
        <v>0.0</v>
      </c>
      <c r="N49" s="23">
        <v>1.0</v>
      </c>
      <c r="O49" s="23">
        <v>2.0</v>
      </c>
      <c r="P49" s="23">
        <v>3.0</v>
      </c>
    </row>
    <row r="50">
      <c r="A50" s="78"/>
      <c r="B50" s="78"/>
      <c r="C50" s="78"/>
      <c r="I50" s="23" t="s">
        <v>1716</v>
      </c>
      <c r="J50" s="23">
        <v>38.0</v>
      </c>
      <c r="K50" s="23">
        <v>34.0</v>
      </c>
      <c r="L50" s="23">
        <v>30.0</v>
      </c>
      <c r="M50" s="23">
        <v>33.0</v>
      </c>
      <c r="N50" s="23">
        <v>56.0</v>
      </c>
      <c r="O50" s="23">
        <v>79.0</v>
      </c>
      <c r="P50" s="23">
        <v>135.0</v>
      </c>
    </row>
    <row r="51">
      <c r="A51" s="75" t="s">
        <v>194</v>
      </c>
    </row>
    <row r="52">
      <c r="A52" s="76"/>
      <c r="B52" s="77"/>
      <c r="C52" s="78"/>
    </row>
    <row r="53">
      <c r="A53" s="78"/>
      <c r="B53" s="78"/>
      <c r="C53" s="78"/>
    </row>
    <row r="54">
      <c r="A54" s="81" t="s">
        <v>1668</v>
      </c>
      <c r="B54" s="81" t="s">
        <v>1669</v>
      </c>
      <c r="C54" s="81" t="s">
        <v>1670</v>
      </c>
    </row>
    <row r="55">
      <c r="A55" s="77" t="s">
        <v>748</v>
      </c>
      <c r="B55" s="77" t="s">
        <v>1843</v>
      </c>
      <c r="C55" s="77" t="s">
        <v>1844</v>
      </c>
    </row>
    <row r="56">
      <c r="A56" s="77" t="s">
        <v>212</v>
      </c>
      <c r="B56" s="77" t="s">
        <v>1845</v>
      </c>
      <c r="C56" s="77" t="s">
        <v>1806</v>
      </c>
    </row>
    <row r="57">
      <c r="A57" s="77" t="s">
        <v>195</v>
      </c>
      <c r="B57" s="77" t="s">
        <v>1846</v>
      </c>
      <c r="C57" s="77" t="s">
        <v>301</v>
      </c>
    </row>
    <row r="58">
      <c r="A58" s="77" t="s">
        <v>464</v>
      </c>
      <c r="B58" s="77" t="s">
        <v>1847</v>
      </c>
      <c r="C58" s="77" t="s">
        <v>1848</v>
      </c>
    </row>
    <row r="59">
      <c r="A59" s="78"/>
      <c r="B59" s="78"/>
      <c r="C59" s="78"/>
    </row>
    <row r="60">
      <c r="A60" s="78"/>
      <c r="B60" s="78"/>
      <c r="C60" s="78"/>
    </row>
    <row r="61">
      <c r="A61" s="75" t="s">
        <v>251</v>
      </c>
    </row>
    <row r="62">
      <c r="A62" s="76"/>
      <c r="B62" s="77"/>
      <c r="C62" s="78"/>
    </row>
    <row r="63">
      <c r="A63" s="78"/>
      <c r="B63" s="78"/>
      <c r="C63" s="78"/>
    </row>
    <row r="64">
      <c r="A64" s="81" t="s">
        <v>1668</v>
      </c>
      <c r="B64" s="81" t="s">
        <v>1669</v>
      </c>
      <c r="C64" s="81" t="s">
        <v>1670</v>
      </c>
    </row>
    <row r="65">
      <c r="A65" s="77" t="s">
        <v>252</v>
      </c>
      <c r="B65" s="77" t="s">
        <v>1849</v>
      </c>
      <c r="C65" s="77" t="s">
        <v>1850</v>
      </c>
    </row>
    <row r="66">
      <c r="A66" s="77" t="s">
        <v>1851</v>
      </c>
      <c r="B66" s="77" t="s">
        <v>1852</v>
      </c>
      <c r="C66" s="77" t="s">
        <v>312</v>
      </c>
    </row>
    <row r="67">
      <c r="A67" s="77" t="s">
        <v>1853</v>
      </c>
      <c r="B67" s="77" t="s">
        <v>1854</v>
      </c>
      <c r="C67" s="77" t="s">
        <v>1855</v>
      </c>
    </row>
    <row r="68">
      <c r="A68" s="78"/>
      <c r="B68" s="78"/>
      <c r="C68" s="78"/>
    </row>
    <row r="69">
      <c r="A69" s="78"/>
      <c r="B69" s="78"/>
      <c r="C69" s="78"/>
    </row>
    <row r="70">
      <c r="A70" s="75" t="s">
        <v>69</v>
      </c>
    </row>
    <row r="71">
      <c r="A71" s="76"/>
      <c r="B71" s="77"/>
      <c r="C71" s="78"/>
    </row>
    <row r="72">
      <c r="A72" s="78"/>
      <c r="B72" s="78"/>
      <c r="C72" s="78"/>
    </row>
    <row r="73">
      <c r="A73" s="81" t="s">
        <v>1668</v>
      </c>
      <c r="B73" s="81" t="s">
        <v>1669</v>
      </c>
      <c r="C73" s="81" t="s">
        <v>1670</v>
      </c>
    </row>
    <row r="74">
      <c r="A74" s="77" t="s">
        <v>70</v>
      </c>
      <c r="B74" s="77" t="s">
        <v>1856</v>
      </c>
      <c r="C74" s="77" t="s">
        <v>1857</v>
      </c>
    </row>
    <row r="75">
      <c r="A75" s="77" t="s">
        <v>1858</v>
      </c>
      <c r="B75" s="77" t="s">
        <v>1859</v>
      </c>
      <c r="C75" s="77" t="s">
        <v>1860</v>
      </c>
    </row>
    <row r="76">
      <c r="A76" s="77" t="s">
        <v>1517</v>
      </c>
      <c r="B76" s="77" t="s">
        <v>1861</v>
      </c>
      <c r="C76" s="77" t="s">
        <v>1862</v>
      </c>
    </row>
    <row r="77">
      <c r="A77" s="77" t="s">
        <v>236</v>
      </c>
      <c r="B77" s="77" t="s">
        <v>1863</v>
      </c>
      <c r="C77" s="77" t="s">
        <v>1864</v>
      </c>
    </row>
    <row r="78">
      <c r="A78" s="77" t="s">
        <v>1865</v>
      </c>
      <c r="B78" s="77" t="s">
        <v>1866</v>
      </c>
      <c r="C78" s="77" t="s">
        <v>1867</v>
      </c>
    </row>
    <row r="79">
      <c r="A79" s="78"/>
      <c r="B79" s="78"/>
      <c r="C79" s="78"/>
    </row>
  </sheetData>
  <mergeCells count="25">
    <mergeCell ref="A2:B2"/>
    <mergeCell ref="D2:G2"/>
    <mergeCell ref="J2:M2"/>
    <mergeCell ref="N2:P2"/>
    <mergeCell ref="A3:B3"/>
    <mergeCell ref="D3:G3"/>
    <mergeCell ref="D4:G4"/>
    <mergeCell ref="D7:G7"/>
    <mergeCell ref="D8:G8"/>
    <mergeCell ref="J13:M13"/>
    <mergeCell ref="N13:P13"/>
    <mergeCell ref="A8:B8"/>
    <mergeCell ref="A20:D20"/>
    <mergeCell ref="A30:D30"/>
    <mergeCell ref="A41:E41"/>
    <mergeCell ref="A51:E51"/>
    <mergeCell ref="A61:E61"/>
    <mergeCell ref="A70:E70"/>
    <mergeCell ref="A4:B4"/>
    <mergeCell ref="A5:B5"/>
    <mergeCell ref="D5:G5"/>
    <mergeCell ref="A6:B6"/>
    <mergeCell ref="D6:G6"/>
    <mergeCell ref="A7:B7"/>
    <mergeCell ref="A11:G11"/>
  </mergeCells>
  <conditionalFormatting sqref="J4:J10">
    <cfRule type="colorScale" priority="1">
      <colorScale>
        <cfvo type="min"/>
        <cfvo type="max"/>
        <color rgb="FFFFFFFF"/>
        <color rgb="FFE67C73"/>
      </colorScale>
    </cfRule>
  </conditionalFormatting>
  <conditionalFormatting sqref="I15:I50">
    <cfRule type="containsText" dxfId="0" priority="2" operator="containsText" text="NEG">
      <formula>NOT(ISERROR(SEARCH(("NEG"),(I15))))</formula>
    </cfRule>
  </conditionalFormatting>
  <conditionalFormatting sqref="I15:I50">
    <cfRule type="containsText" dxfId="1" priority="3" operator="containsText" text="NEU">
      <formula>NOT(ISERROR(SEARCH(("NEU"),(I15))))</formula>
    </cfRule>
  </conditionalFormatting>
  <conditionalFormatting sqref="I15:I50">
    <cfRule type="containsText" dxfId="2" priority="4" operator="containsText" text="POS">
      <formula>NOT(ISERROR(SEARCH(("POS"),(I15))))</formula>
    </cfRule>
  </conditionalFormatting>
  <conditionalFormatting sqref="K4:K10">
    <cfRule type="colorScale" priority="5">
      <colorScale>
        <cfvo type="min"/>
        <cfvo type="max"/>
        <color rgb="FFFFFFFF"/>
        <color rgb="FFE67C73"/>
      </colorScale>
    </cfRule>
  </conditionalFormatting>
  <conditionalFormatting sqref="L4:L10">
    <cfRule type="colorScale" priority="6">
      <colorScale>
        <cfvo type="min"/>
        <cfvo type="max"/>
        <color rgb="FFFFFFFF"/>
        <color rgb="FFE67C73"/>
      </colorScale>
    </cfRule>
  </conditionalFormatting>
  <conditionalFormatting sqref="M4:M10">
    <cfRule type="colorScale" priority="7">
      <colorScale>
        <cfvo type="min"/>
        <cfvo type="max"/>
        <color rgb="FFFFFFFF"/>
        <color rgb="FFE67C73"/>
      </colorScale>
    </cfRule>
  </conditionalFormatting>
  <conditionalFormatting sqref="N4:N10">
    <cfRule type="colorScale" priority="8">
      <colorScale>
        <cfvo type="min"/>
        <cfvo type="max"/>
        <color rgb="FFFFFFFF"/>
        <color rgb="FFE67C73"/>
      </colorScale>
    </cfRule>
  </conditionalFormatting>
  <conditionalFormatting sqref="O4:O10">
    <cfRule type="colorScale" priority="9">
      <colorScale>
        <cfvo type="min"/>
        <cfvo type="max"/>
        <color rgb="FFFFFFFF"/>
        <color rgb="FFE67C73"/>
      </colorScale>
    </cfRule>
  </conditionalFormatting>
  <conditionalFormatting sqref="O4:O10">
    <cfRule type="colorScale" priority="10">
      <colorScale>
        <cfvo type="min"/>
        <cfvo type="max"/>
        <color rgb="FFFFFFFF"/>
        <color rgb="FFE67C73"/>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14"/>
    <col customWidth="1" min="2" max="8" width="13.71"/>
  </cols>
  <sheetData>
    <row r="1">
      <c r="A1" s="3" t="s">
        <v>1748</v>
      </c>
      <c r="B1" s="3" t="s">
        <v>1749</v>
      </c>
      <c r="C1" s="7" t="s">
        <v>1868</v>
      </c>
      <c r="D1" s="3" t="s">
        <v>1869</v>
      </c>
      <c r="E1" s="3" t="s">
        <v>1870</v>
      </c>
      <c r="G1" s="3"/>
      <c r="H1" s="3"/>
      <c r="I1" s="3"/>
      <c r="J1" s="3"/>
    </row>
    <row r="2">
      <c r="A2" s="7" t="s">
        <v>1752</v>
      </c>
      <c r="B2" s="7" t="s">
        <v>285</v>
      </c>
      <c r="C2" s="98" t="s">
        <v>1871</v>
      </c>
      <c r="D2" s="3" t="s">
        <v>1872</v>
      </c>
      <c r="E2" s="120" t="s">
        <v>1873</v>
      </c>
      <c r="G2" s="7"/>
      <c r="H2" s="7"/>
      <c r="I2" s="7"/>
    </row>
    <row r="3">
      <c r="A3" s="98"/>
      <c r="B3" s="7" t="s">
        <v>71</v>
      </c>
      <c r="C3" s="98" t="s">
        <v>1874</v>
      </c>
      <c r="D3" s="3" t="s">
        <v>1875</v>
      </c>
      <c r="E3" s="120" t="s">
        <v>1876</v>
      </c>
      <c r="G3" s="7"/>
      <c r="H3" s="7"/>
      <c r="I3" s="7"/>
    </row>
    <row r="4">
      <c r="A4" s="98"/>
      <c r="B4" s="7" t="s">
        <v>155</v>
      </c>
      <c r="C4" s="98" t="s">
        <v>1877</v>
      </c>
      <c r="D4" s="3" t="s">
        <v>1878</v>
      </c>
      <c r="E4" s="120" t="s">
        <v>1879</v>
      </c>
      <c r="G4" s="7"/>
      <c r="H4" s="7"/>
      <c r="I4" s="7"/>
    </row>
    <row r="5">
      <c r="A5" s="98"/>
      <c r="B5" s="7" t="s">
        <v>480</v>
      </c>
      <c r="C5" s="98" t="s">
        <v>1880</v>
      </c>
      <c r="D5" s="3" t="s">
        <v>1881</v>
      </c>
      <c r="E5" s="120" t="s">
        <v>1882</v>
      </c>
      <c r="G5" s="7"/>
      <c r="H5" s="7"/>
      <c r="I5" s="7"/>
    </row>
    <row r="6">
      <c r="A6" s="121"/>
      <c r="B6" s="7" t="s">
        <v>737</v>
      </c>
      <c r="C6" s="98" t="s">
        <v>1883</v>
      </c>
      <c r="D6" s="3" t="s">
        <v>1884</v>
      </c>
      <c r="E6" s="120" t="s">
        <v>1885</v>
      </c>
      <c r="G6" s="7"/>
      <c r="H6" s="7"/>
      <c r="I6" s="7"/>
    </row>
    <row r="7">
      <c r="A7" s="98"/>
      <c r="B7" s="7" t="s">
        <v>874</v>
      </c>
      <c r="C7" s="98" t="s">
        <v>1886</v>
      </c>
      <c r="D7" s="3" t="s">
        <v>1887</v>
      </c>
      <c r="E7" s="120" t="s">
        <v>1888</v>
      </c>
      <c r="G7" s="7"/>
      <c r="H7" s="7"/>
      <c r="I7" s="7"/>
    </row>
    <row r="8">
      <c r="A8" s="98"/>
      <c r="B8" s="7" t="s">
        <v>1133</v>
      </c>
      <c r="C8" s="98" t="s">
        <v>1889</v>
      </c>
      <c r="D8" s="3" t="s">
        <v>1890</v>
      </c>
      <c r="E8" s="120" t="s">
        <v>1891</v>
      </c>
      <c r="G8" s="7"/>
      <c r="H8" s="7"/>
      <c r="I8" s="7"/>
    </row>
    <row r="9">
      <c r="A9" s="7" t="s">
        <v>1892</v>
      </c>
      <c r="B9" s="7" t="s">
        <v>98</v>
      </c>
      <c r="C9" s="98" t="s">
        <v>1893</v>
      </c>
      <c r="D9" s="3" t="s">
        <v>1894</v>
      </c>
      <c r="E9" s="120" t="s">
        <v>1895</v>
      </c>
    </row>
    <row r="10">
      <c r="A10" s="98"/>
      <c r="B10" s="7" t="s">
        <v>120</v>
      </c>
      <c r="C10" s="98" t="s">
        <v>1896</v>
      </c>
      <c r="D10" s="3" t="s">
        <v>1897</v>
      </c>
      <c r="E10" s="120" t="s">
        <v>1898</v>
      </c>
    </row>
    <row r="11">
      <c r="A11" s="98"/>
      <c r="B11" s="7" t="s">
        <v>196</v>
      </c>
      <c r="C11" s="98" t="s">
        <v>1899</v>
      </c>
      <c r="D11" s="3" t="s">
        <v>1900</v>
      </c>
      <c r="E11" s="120" t="s">
        <v>1901</v>
      </c>
    </row>
    <row r="12">
      <c r="A12" s="7" t="s">
        <v>1778</v>
      </c>
      <c r="B12" s="7" t="s">
        <v>270</v>
      </c>
      <c r="C12" s="98" t="s">
        <v>1902</v>
      </c>
      <c r="D12" s="3" t="s">
        <v>1903</v>
      </c>
      <c r="E12" s="120" t="s">
        <v>1904</v>
      </c>
    </row>
    <row r="13">
      <c r="A13" s="98"/>
      <c r="B13" s="7" t="s">
        <v>214</v>
      </c>
      <c r="C13" s="98" t="s">
        <v>1905</v>
      </c>
      <c r="D13" s="3" t="s">
        <v>1906</v>
      </c>
      <c r="E13" s="120" t="s">
        <v>1907</v>
      </c>
    </row>
    <row r="14">
      <c r="A14" s="98"/>
      <c r="B14" s="7" t="s">
        <v>237</v>
      </c>
      <c r="C14" s="98" t="s">
        <v>1908</v>
      </c>
      <c r="D14" s="3" t="s">
        <v>1909</v>
      </c>
      <c r="E14" s="120" t="s">
        <v>1910</v>
      </c>
    </row>
    <row r="15">
      <c r="A15" s="121"/>
      <c r="B15" s="7" t="s">
        <v>97</v>
      </c>
      <c r="C15" s="98" t="s">
        <v>1911</v>
      </c>
      <c r="D15" s="3" t="s">
        <v>1912</v>
      </c>
      <c r="E15" s="120" t="s">
        <v>1913</v>
      </c>
    </row>
    <row r="16">
      <c r="A16" s="121"/>
      <c r="B16" s="7" t="s">
        <v>713</v>
      </c>
      <c r="C16" s="98" t="s">
        <v>1914</v>
      </c>
      <c r="D16" s="3" t="s">
        <v>1915</v>
      </c>
      <c r="E16" s="120" t="s">
        <v>1916</v>
      </c>
    </row>
    <row r="17">
      <c r="A17" s="121"/>
      <c r="B17" s="7" t="s">
        <v>943</v>
      </c>
      <c r="C17" s="98" t="s">
        <v>1917</v>
      </c>
      <c r="D17" s="3" t="s">
        <v>1918</v>
      </c>
      <c r="E17" s="120" t="s">
        <v>1919</v>
      </c>
    </row>
    <row r="18">
      <c r="A18" s="121"/>
      <c r="B18" s="7" t="s">
        <v>269</v>
      </c>
      <c r="C18" s="98" t="s">
        <v>1920</v>
      </c>
      <c r="D18" s="3" t="s">
        <v>1921</v>
      </c>
      <c r="E18" s="120" t="s">
        <v>1922</v>
      </c>
    </row>
    <row r="19">
      <c r="A19" s="3"/>
      <c r="B19" s="7"/>
    </row>
    <row r="20">
      <c r="A20" s="7"/>
      <c r="B20" s="35" t="s">
        <v>1628</v>
      </c>
      <c r="C20" s="36"/>
      <c r="D20" s="36"/>
      <c r="E20" s="37"/>
      <c r="F20" s="35" t="s">
        <v>1629</v>
      </c>
      <c r="G20" s="36"/>
      <c r="H20" s="37"/>
    </row>
    <row r="21">
      <c r="A21" s="7"/>
      <c r="B21" s="23" t="s">
        <v>56</v>
      </c>
      <c r="C21" s="23" t="s">
        <v>296</v>
      </c>
      <c r="D21" s="23" t="s">
        <v>180</v>
      </c>
      <c r="E21" s="23" t="s">
        <v>278</v>
      </c>
      <c r="F21" s="23" t="s">
        <v>149</v>
      </c>
      <c r="G21" s="23" t="s">
        <v>60</v>
      </c>
      <c r="H21" s="23" t="s">
        <v>1630</v>
      </c>
    </row>
    <row r="22">
      <c r="A22" s="122" t="s">
        <v>1871</v>
      </c>
      <c r="B22" s="123">
        <v>2.0</v>
      </c>
      <c r="C22" s="124">
        <v>10.0</v>
      </c>
      <c r="D22" s="124">
        <v>3.0</v>
      </c>
      <c r="E22" s="125">
        <v>13.0</v>
      </c>
      <c r="F22" s="123">
        <v>19.0</v>
      </c>
      <c r="G22" s="124">
        <v>9.0</v>
      </c>
      <c r="H22" s="125">
        <v>28.0</v>
      </c>
    </row>
    <row r="23">
      <c r="A23" s="122" t="s">
        <v>1874</v>
      </c>
      <c r="B23" s="123">
        <v>10.0</v>
      </c>
      <c r="C23" s="124">
        <v>11.0</v>
      </c>
      <c r="D23" s="124">
        <v>3.0</v>
      </c>
      <c r="E23" s="125">
        <v>4.0</v>
      </c>
      <c r="F23" s="123">
        <v>17.0</v>
      </c>
      <c r="G23" s="124">
        <v>11.0</v>
      </c>
      <c r="H23" s="125">
        <v>28.0</v>
      </c>
    </row>
    <row r="24">
      <c r="A24" s="126" t="s">
        <v>1877</v>
      </c>
      <c r="B24" s="127">
        <v>5.0</v>
      </c>
      <c r="C24" s="128">
        <v>8.0</v>
      </c>
      <c r="D24" s="128">
        <v>1.0</v>
      </c>
      <c r="E24" s="129">
        <v>7.0</v>
      </c>
      <c r="F24" s="127">
        <v>17.0</v>
      </c>
      <c r="G24" s="128">
        <v>4.0</v>
      </c>
      <c r="H24" s="129">
        <v>21.0</v>
      </c>
    </row>
    <row r="25">
      <c r="A25" s="126" t="s">
        <v>1880</v>
      </c>
      <c r="B25" s="127">
        <v>3.0</v>
      </c>
      <c r="C25" s="128">
        <v>2.0</v>
      </c>
      <c r="D25" s="128">
        <v>0.0</v>
      </c>
      <c r="E25" s="129">
        <v>2.0</v>
      </c>
      <c r="F25" s="127">
        <v>5.0</v>
      </c>
      <c r="G25" s="128">
        <v>2.0</v>
      </c>
      <c r="H25" s="129">
        <v>7.0</v>
      </c>
    </row>
    <row r="26">
      <c r="A26" s="126" t="s">
        <v>1883</v>
      </c>
      <c r="B26" s="127">
        <v>1.0</v>
      </c>
      <c r="C26" s="128">
        <v>4.0</v>
      </c>
      <c r="D26" s="128">
        <v>0.0</v>
      </c>
      <c r="E26" s="129">
        <v>1.0</v>
      </c>
      <c r="F26" s="127">
        <v>6.0</v>
      </c>
      <c r="G26" s="128">
        <v>0.0</v>
      </c>
      <c r="H26" s="129">
        <v>6.0</v>
      </c>
    </row>
    <row r="27">
      <c r="A27" s="126" t="s">
        <v>1886</v>
      </c>
      <c r="B27" s="127">
        <v>0.0</v>
      </c>
      <c r="C27" s="128">
        <v>2.0</v>
      </c>
      <c r="D27" s="128">
        <v>0.0</v>
      </c>
      <c r="E27" s="129">
        <v>1.0</v>
      </c>
      <c r="F27" s="127">
        <v>3.0</v>
      </c>
      <c r="G27" s="128">
        <v>0.0</v>
      </c>
      <c r="H27" s="129">
        <v>3.0</v>
      </c>
    </row>
    <row r="28">
      <c r="A28" s="126" t="s">
        <v>1889</v>
      </c>
      <c r="B28" s="127">
        <v>0.0</v>
      </c>
      <c r="C28" s="128">
        <v>0.0</v>
      </c>
      <c r="D28" s="128">
        <v>1.0</v>
      </c>
      <c r="E28" s="129">
        <v>0.0</v>
      </c>
      <c r="F28" s="127">
        <v>0.0</v>
      </c>
      <c r="G28" s="128">
        <v>1.0</v>
      </c>
      <c r="H28" s="129">
        <v>1.0</v>
      </c>
    </row>
    <row r="29">
      <c r="A29" s="130" t="s">
        <v>1674</v>
      </c>
      <c r="B29" s="131">
        <v>21.0</v>
      </c>
      <c r="C29" s="132">
        <v>37.0</v>
      </c>
      <c r="D29" s="132">
        <v>8.0</v>
      </c>
      <c r="E29" s="133">
        <v>28.0</v>
      </c>
      <c r="F29" s="131">
        <v>67.0</v>
      </c>
      <c r="G29" s="132">
        <v>27.0</v>
      </c>
      <c r="H29" s="133">
        <v>94.0</v>
      </c>
    </row>
    <row r="30">
      <c r="A30" s="134" t="s">
        <v>1893</v>
      </c>
      <c r="B30" s="135">
        <v>8.0</v>
      </c>
      <c r="C30" s="136">
        <v>3.0</v>
      </c>
      <c r="D30" s="136">
        <v>4.0</v>
      </c>
      <c r="E30" s="137">
        <v>2.0</v>
      </c>
      <c r="F30" s="135">
        <v>6.0</v>
      </c>
      <c r="G30" s="136">
        <v>11.0</v>
      </c>
      <c r="H30" s="137">
        <v>17.0</v>
      </c>
    </row>
    <row r="31">
      <c r="A31" s="134" t="s">
        <v>1899</v>
      </c>
      <c r="B31" s="135">
        <v>1.0</v>
      </c>
      <c r="C31" s="136">
        <v>2.0</v>
      </c>
      <c r="D31" s="136">
        <v>3.0</v>
      </c>
      <c r="E31" s="137">
        <v>1.0</v>
      </c>
      <c r="F31" s="135">
        <v>3.0</v>
      </c>
      <c r="G31" s="136">
        <v>4.0</v>
      </c>
      <c r="H31" s="137">
        <v>7.0</v>
      </c>
    </row>
    <row r="32">
      <c r="A32" s="134" t="s">
        <v>1896</v>
      </c>
      <c r="B32" s="135">
        <v>3.0</v>
      </c>
      <c r="C32" s="136">
        <v>3.0</v>
      </c>
      <c r="D32" s="136">
        <v>1.0</v>
      </c>
      <c r="E32" s="137">
        <v>3.0</v>
      </c>
      <c r="F32" s="135">
        <v>4.0</v>
      </c>
      <c r="G32" s="136">
        <v>6.0</v>
      </c>
      <c r="H32" s="137">
        <v>10.0</v>
      </c>
    </row>
    <row r="33">
      <c r="A33" s="138" t="s">
        <v>1674</v>
      </c>
      <c r="B33" s="139">
        <v>12.0</v>
      </c>
      <c r="C33" s="140">
        <v>8.0</v>
      </c>
      <c r="D33" s="140">
        <v>8.0</v>
      </c>
      <c r="E33" s="141">
        <v>6.0</v>
      </c>
      <c r="F33" s="139">
        <v>13.0</v>
      </c>
      <c r="G33" s="140">
        <v>21.0</v>
      </c>
      <c r="H33" s="141">
        <v>34.0</v>
      </c>
    </row>
    <row r="34">
      <c r="A34" s="142" t="s">
        <v>1902</v>
      </c>
      <c r="B34" s="143">
        <v>11.0</v>
      </c>
      <c r="C34" s="144">
        <v>1.0</v>
      </c>
      <c r="D34" s="144">
        <v>9.0</v>
      </c>
      <c r="E34" s="145">
        <v>6.0</v>
      </c>
      <c r="F34" s="143">
        <v>2.0</v>
      </c>
      <c r="G34" s="144">
        <v>25.0</v>
      </c>
      <c r="H34" s="145">
        <v>27.0</v>
      </c>
    </row>
    <row r="35">
      <c r="A35" s="142" t="s">
        <v>1911</v>
      </c>
      <c r="B35" s="143">
        <v>6.0</v>
      </c>
      <c r="C35" s="144">
        <v>4.0</v>
      </c>
      <c r="D35" s="144">
        <v>8.0</v>
      </c>
      <c r="E35" s="145">
        <v>5.0</v>
      </c>
      <c r="F35" s="143">
        <v>6.0</v>
      </c>
      <c r="G35" s="144">
        <v>17.0</v>
      </c>
      <c r="H35" s="145">
        <v>23.0</v>
      </c>
    </row>
    <row r="36">
      <c r="A36" s="146" t="s">
        <v>1905</v>
      </c>
      <c r="B36" s="147">
        <v>2.0</v>
      </c>
      <c r="C36" s="148">
        <v>2.0</v>
      </c>
      <c r="D36" s="148">
        <v>4.0</v>
      </c>
      <c r="E36" s="149">
        <v>6.0</v>
      </c>
      <c r="F36" s="147">
        <v>3.0</v>
      </c>
      <c r="G36" s="148">
        <v>11.0</v>
      </c>
      <c r="H36" s="149">
        <v>14.0</v>
      </c>
    </row>
    <row r="37">
      <c r="A37" s="146" t="s">
        <v>1908</v>
      </c>
      <c r="B37" s="147">
        <v>3.0</v>
      </c>
      <c r="C37" s="148">
        <v>0.0</v>
      </c>
      <c r="D37" s="148">
        <v>2.0</v>
      </c>
      <c r="E37" s="149">
        <v>6.0</v>
      </c>
      <c r="F37" s="147">
        <v>0.0</v>
      </c>
      <c r="G37" s="148">
        <v>11.0</v>
      </c>
      <c r="H37" s="149">
        <v>11.0</v>
      </c>
    </row>
    <row r="38">
      <c r="A38" s="146" t="s">
        <v>1914</v>
      </c>
      <c r="B38" s="147">
        <v>2.0</v>
      </c>
      <c r="C38" s="148">
        <v>0.0</v>
      </c>
      <c r="D38" s="148">
        <v>1.0</v>
      </c>
      <c r="E38" s="149">
        <v>1.0</v>
      </c>
      <c r="F38" s="147">
        <v>0.0</v>
      </c>
      <c r="G38" s="148">
        <v>4.0</v>
      </c>
      <c r="H38" s="149">
        <v>4.0</v>
      </c>
    </row>
    <row r="39">
      <c r="A39" s="146" t="s">
        <v>1920</v>
      </c>
      <c r="B39" s="147">
        <v>1.0</v>
      </c>
      <c r="C39" s="148">
        <v>0.0</v>
      </c>
      <c r="D39" s="148">
        <v>1.0</v>
      </c>
      <c r="E39" s="149">
        <v>0.0</v>
      </c>
      <c r="F39" s="147">
        <v>0.0</v>
      </c>
      <c r="G39" s="148">
        <v>2.0</v>
      </c>
      <c r="H39" s="149">
        <v>2.0</v>
      </c>
    </row>
    <row r="40">
      <c r="A40" s="146" t="s">
        <v>1917</v>
      </c>
      <c r="B40" s="147">
        <v>1.0</v>
      </c>
      <c r="C40" s="148">
        <v>0.0</v>
      </c>
      <c r="D40" s="148">
        <v>0.0</v>
      </c>
      <c r="E40" s="149">
        <v>0.0</v>
      </c>
      <c r="F40" s="147">
        <v>0.0</v>
      </c>
      <c r="G40" s="148">
        <v>1.0</v>
      </c>
      <c r="H40" s="149">
        <v>1.0</v>
      </c>
    </row>
    <row r="41">
      <c r="A41" s="150" t="s">
        <v>1674</v>
      </c>
      <c r="B41" s="151">
        <v>26.0</v>
      </c>
      <c r="C41" s="152">
        <v>7.0</v>
      </c>
      <c r="D41" s="152">
        <v>25.0</v>
      </c>
      <c r="E41" s="153">
        <v>24.0</v>
      </c>
      <c r="F41" s="151">
        <v>11.0</v>
      </c>
      <c r="G41" s="152">
        <v>71.0</v>
      </c>
      <c r="H41" s="153">
        <v>82.0</v>
      </c>
    </row>
    <row r="46">
      <c r="A46" s="3"/>
      <c r="B46" s="7"/>
    </row>
    <row r="47">
      <c r="A47" s="3"/>
      <c r="B47" s="7"/>
    </row>
    <row r="48">
      <c r="A48" s="3"/>
      <c r="B48" s="7"/>
    </row>
    <row r="49">
      <c r="A49" s="3"/>
      <c r="B49" s="7"/>
    </row>
    <row r="50">
      <c r="A50" s="3"/>
      <c r="B50" s="7"/>
    </row>
    <row r="51">
      <c r="A51" s="3"/>
      <c r="B51" s="7"/>
    </row>
    <row r="52">
      <c r="A52" s="3"/>
      <c r="B52" s="7"/>
    </row>
    <row r="53">
      <c r="A53" s="3"/>
      <c r="B53" s="7"/>
    </row>
    <row r="54">
      <c r="A54" s="3"/>
      <c r="B54" s="7"/>
    </row>
    <row r="55">
      <c r="A55" s="3"/>
      <c r="B55" s="7"/>
    </row>
    <row r="56">
      <c r="A56" s="3"/>
      <c r="B56" s="7"/>
    </row>
    <row r="57">
      <c r="A57" s="3"/>
      <c r="B57" s="7"/>
    </row>
    <row r="58">
      <c r="A58" s="3"/>
      <c r="B58" s="7"/>
    </row>
    <row r="59">
      <c r="A59" s="3"/>
      <c r="B59" s="7"/>
    </row>
    <row r="60">
      <c r="A60" s="3"/>
      <c r="B60" s="7"/>
    </row>
    <row r="61">
      <c r="A61" s="3"/>
      <c r="B61" s="7"/>
    </row>
    <row r="62">
      <c r="A62" s="3"/>
      <c r="B62" s="7"/>
    </row>
    <row r="63">
      <c r="A63" s="3"/>
      <c r="B63" s="7"/>
    </row>
    <row r="64">
      <c r="A64" s="3"/>
      <c r="B64" s="7"/>
    </row>
    <row r="65">
      <c r="A65" s="3"/>
      <c r="B65" s="7"/>
    </row>
    <row r="66">
      <c r="A66" s="3"/>
      <c r="B66" s="7"/>
    </row>
    <row r="67">
      <c r="A67" s="3"/>
      <c r="B67" s="7"/>
    </row>
    <row r="68">
      <c r="A68" s="3"/>
      <c r="B68" s="7"/>
    </row>
    <row r="69">
      <c r="A69" s="3"/>
      <c r="B69" s="7"/>
    </row>
    <row r="70">
      <c r="A70" s="3"/>
      <c r="B70" s="7"/>
    </row>
    <row r="71">
      <c r="A71" s="3"/>
      <c r="B71" s="7"/>
    </row>
    <row r="72">
      <c r="A72" s="3"/>
      <c r="B72" s="7"/>
    </row>
    <row r="73">
      <c r="A73" s="3"/>
      <c r="B73" s="7"/>
    </row>
    <row r="74">
      <c r="A74" s="3"/>
      <c r="B74" s="7"/>
    </row>
    <row r="75">
      <c r="A75" s="3"/>
      <c r="B75" s="7"/>
    </row>
  </sheetData>
  <mergeCells count="2">
    <mergeCell ref="B20:E20"/>
    <mergeCell ref="F20:H2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86"/>
    <col customWidth="1" min="2" max="2" width="13.86"/>
    <col customWidth="1" min="3" max="3" width="32.71"/>
    <col customWidth="1" min="4" max="4" width="54.14"/>
    <col customWidth="1" min="6" max="6" width="32.14"/>
    <col customWidth="1" min="7" max="7" width="50.71"/>
  </cols>
  <sheetData>
    <row r="1">
      <c r="A1" s="31" t="s">
        <v>1923</v>
      </c>
    </row>
    <row r="3">
      <c r="A3" s="9" t="s">
        <v>1748</v>
      </c>
      <c r="B3" s="9" t="s">
        <v>1749</v>
      </c>
      <c r="C3" s="9" t="s">
        <v>1924</v>
      </c>
      <c r="D3" s="9" t="s">
        <v>1925</v>
      </c>
      <c r="E3" s="9" t="s">
        <v>1926</v>
      </c>
    </row>
    <row r="4">
      <c r="A4" s="9" t="s">
        <v>1927</v>
      </c>
      <c r="B4" s="9">
        <v>101.0</v>
      </c>
      <c r="C4" s="9" t="s">
        <v>1928</v>
      </c>
      <c r="D4" s="5" t="s">
        <v>1929</v>
      </c>
      <c r="E4" s="154" t="s">
        <v>1930</v>
      </c>
    </row>
    <row r="5">
      <c r="B5" s="9">
        <v>102.0</v>
      </c>
      <c r="C5" s="9" t="s">
        <v>1931</v>
      </c>
      <c r="D5" s="5" t="s">
        <v>1932</v>
      </c>
      <c r="E5" s="154" t="s">
        <v>1933</v>
      </c>
    </row>
    <row r="6">
      <c r="B6" s="9">
        <v>103.0</v>
      </c>
      <c r="C6" s="9" t="s">
        <v>1934</v>
      </c>
      <c r="D6" s="5" t="s">
        <v>1935</v>
      </c>
      <c r="E6" s="154" t="s">
        <v>1936</v>
      </c>
    </row>
    <row r="7">
      <c r="B7" s="9">
        <v>104.0</v>
      </c>
      <c r="C7" s="9" t="s">
        <v>1937</v>
      </c>
      <c r="D7" s="5" t="s">
        <v>1938</v>
      </c>
      <c r="E7" s="154" t="s">
        <v>1939</v>
      </c>
    </row>
    <row r="8">
      <c r="A8" s="9" t="s">
        <v>1940</v>
      </c>
      <c r="B8" s="9">
        <v>201.0</v>
      </c>
      <c r="C8" s="9" t="s">
        <v>1941</v>
      </c>
      <c r="D8" s="5" t="s">
        <v>1942</v>
      </c>
      <c r="E8" s="154" t="s">
        <v>1943</v>
      </c>
    </row>
    <row r="9">
      <c r="B9" s="9">
        <v>202.0</v>
      </c>
      <c r="C9" s="9" t="s">
        <v>1944</v>
      </c>
      <c r="D9" s="5" t="s">
        <v>1945</v>
      </c>
      <c r="E9" s="154" t="s">
        <v>1946</v>
      </c>
    </row>
    <row r="10">
      <c r="B10" s="9">
        <v>203.0</v>
      </c>
      <c r="C10" s="9" t="s">
        <v>1947</v>
      </c>
      <c r="D10" s="5" t="s">
        <v>1948</v>
      </c>
      <c r="E10" s="154" t="s">
        <v>1949</v>
      </c>
    </row>
    <row r="11">
      <c r="B11" s="9">
        <v>204.0</v>
      </c>
      <c r="C11" s="9" t="s">
        <v>1950</v>
      </c>
      <c r="D11" s="5" t="s">
        <v>1951</v>
      </c>
      <c r="E11" s="154" t="s">
        <v>1952</v>
      </c>
    </row>
    <row r="12">
      <c r="A12" s="9" t="s">
        <v>1953</v>
      </c>
      <c r="B12" s="9">
        <v>301.0</v>
      </c>
      <c r="C12" s="9" t="s">
        <v>1954</v>
      </c>
      <c r="D12" s="5" t="s">
        <v>1955</v>
      </c>
      <c r="E12" s="154" t="s">
        <v>1956</v>
      </c>
    </row>
    <row r="13">
      <c r="B13" s="9">
        <v>302.0</v>
      </c>
      <c r="C13" s="9" t="s">
        <v>1957</v>
      </c>
      <c r="D13" s="5" t="s">
        <v>1958</v>
      </c>
      <c r="E13" s="154" t="s">
        <v>1959</v>
      </c>
    </row>
    <row r="14">
      <c r="B14" s="9">
        <v>303.0</v>
      </c>
      <c r="C14" s="9" t="s">
        <v>1960</v>
      </c>
      <c r="D14" s="5" t="s">
        <v>1961</v>
      </c>
      <c r="E14" s="154" t="s">
        <v>1962</v>
      </c>
    </row>
    <row r="15">
      <c r="A15" s="9" t="s">
        <v>1963</v>
      </c>
      <c r="B15" s="9">
        <v>401.0</v>
      </c>
      <c r="C15" s="9" t="s">
        <v>1964</v>
      </c>
      <c r="D15" s="5" t="s">
        <v>1965</v>
      </c>
      <c r="E15" s="154" t="s">
        <v>1966</v>
      </c>
    </row>
    <row r="16">
      <c r="B16" s="9">
        <v>402.0</v>
      </c>
      <c r="C16" s="9" t="s">
        <v>1967</v>
      </c>
      <c r="D16" s="5" t="s">
        <v>1968</v>
      </c>
      <c r="E16" s="154" t="s">
        <v>1969</v>
      </c>
    </row>
    <row r="17">
      <c r="B17" s="9">
        <v>403.0</v>
      </c>
      <c r="C17" s="9" t="s">
        <v>1970</v>
      </c>
      <c r="D17" s="5" t="s">
        <v>1971</v>
      </c>
      <c r="E17" s="154" t="s">
        <v>1972</v>
      </c>
    </row>
    <row r="18">
      <c r="B18" s="9">
        <v>404.0</v>
      </c>
      <c r="C18" s="9" t="s">
        <v>1973</v>
      </c>
      <c r="D18" s="5" t="s">
        <v>1974</v>
      </c>
      <c r="E18" s="154" t="s">
        <v>1975</v>
      </c>
    </row>
    <row r="19">
      <c r="A19" s="9" t="s">
        <v>1976</v>
      </c>
      <c r="B19" s="9">
        <v>501.0</v>
      </c>
      <c r="C19" s="9" t="s">
        <v>1977</v>
      </c>
      <c r="D19" s="5" t="s">
        <v>1978</v>
      </c>
      <c r="E19" s="154" t="s">
        <v>1979</v>
      </c>
    </row>
    <row r="20">
      <c r="B20" s="9">
        <v>502.0</v>
      </c>
      <c r="C20" s="9" t="s">
        <v>1980</v>
      </c>
      <c r="D20" s="5" t="s">
        <v>1981</v>
      </c>
      <c r="E20" s="154" t="s">
        <v>1982</v>
      </c>
    </row>
    <row r="21">
      <c r="B21" s="9">
        <v>503.0</v>
      </c>
      <c r="C21" s="9" t="s">
        <v>1983</v>
      </c>
      <c r="D21" s="5" t="s">
        <v>1984</v>
      </c>
      <c r="E21" s="154" t="s">
        <v>1985</v>
      </c>
    </row>
    <row r="22">
      <c r="B22" s="9">
        <v>504.0</v>
      </c>
      <c r="C22" s="9" t="s">
        <v>1986</v>
      </c>
    </row>
    <row r="23">
      <c r="B23" s="9">
        <v>505.0</v>
      </c>
      <c r="C23" s="9" t="s">
        <v>1987</v>
      </c>
      <c r="D23" s="5" t="s">
        <v>1988</v>
      </c>
      <c r="E23" s="154" t="s">
        <v>1989</v>
      </c>
    </row>
    <row r="24">
      <c r="A24" s="5"/>
      <c r="B24" s="5"/>
      <c r="C24" s="5"/>
      <c r="D24" s="5"/>
      <c r="E24" s="9"/>
    </row>
    <row r="25">
      <c r="A25" s="5"/>
      <c r="B25" s="5"/>
      <c r="C25" s="5"/>
      <c r="D25" s="5"/>
      <c r="E25" s="9"/>
    </row>
    <row r="26">
      <c r="A26" s="5"/>
      <c r="B26" s="5"/>
      <c r="C26" s="5"/>
      <c r="D26" s="5"/>
      <c r="E26" s="9"/>
    </row>
    <row r="27">
      <c r="A27" s="5"/>
      <c r="B27" s="5"/>
      <c r="C27" s="5"/>
      <c r="D27" s="5"/>
      <c r="E27" s="9"/>
    </row>
    <row r="28">
      <c r="A28" s="5"/>
      <c r="B28" s="5"/>
      <c r="C28" s="5"/>
      <c r="D28" s="5"/>
      <c r="E28" s="9"/>
    </row>
    <row r="29">
      <c r="A29" s="5"/>
      <c r="B29" s="5"/>
      <c r="C29" s="5"/>
      <c r="D29" s="5"/>
      <c r="E29" s="9"/>
    </row>
    <row r="30">
      <c r="A30" s="5"/>
      <c r="B30" s="5"/>
      <c r="C30" s="5"/>
      <c r="D30" s="5"/>
      <c r="E30" s="9"/>
    </row>
    <row r="31">
      <c r="A31" s="5"/>
      <c r="B31" s="5"/>
      <c r="C31" s="5"/>
      <c r="D31" s="5"/>
      <c r="E31" s="9"/>
    </row>
    <row r="32">
      <c r="A32" s="5"/>
      <c r="B32" s="5"/>
      <c r="C32" s="5"/>
      <c r="D32" s="5"/>
      <c r="E32" s="9"/>
    </row>
    <row r="33">
      <c r="A33" s="5"/>
      <c r="B33" s="5"/>
      <c r="C33" s="5"/>
      <c r="D33" s="5"/>
      <c r="E33" s="9"/>
    </row>
    <row r="34">
      <c r="A34" s="5"/>
      <c r="B34" s="5"/>
      <c r="C34" s="5"/>
      <c r="D34" s="5"/>
      <c r="E34" s="9"/>
    </row>
    <row r="35">
      <c r="A35" s="5"/>
      <c r="B35" s="5"/>
      <c r="C35" s="5"/>
      <c r="D35" s="5"/>
      <c r="E35" s="9"/>
    </row>
    <row r="36">
      <c r="A36" s="5"/>
      <c r="B36" s="5"/>
      <c r="C36" s="5"/>
      <c r="D36" s="5"/>
      <c r="E36" s="9"/>
    </row>
    <row r="37">
      <c r="A37" s="5"/>
      <c r="B37" s="5"/>
      <c r="C37" s="5"/>
      <c r="D37" s="5"/>
      <c r="E37" s="9"/>
    </row>
    <row r="38">
      <c r="A38" s="5"/>
      <c r="B38" s="5"/>
      <c r="C38" s="5"/>
      <c r="D38" s="5"/>
      <c r="E38" s="9"/>
    </row>
    <row r="39">
      <c r="A39" s="5"/>
      <c r="B39" s="5"/>
      <c r="C39" s="5"/>
      <c r="D39" s="5"/>
      <c r="E39" s="9"/>
    </row>
    <row r="40">
      <c r="A40" s="5"/>
      <c r="B40" s="5"/>
      <c r="C40" s="5"/>
      <c r="D40" s="5"/>
      <c r="E40" s="9"/>
    </row>
    <row r="41">
      <c r="A41" s="5"/>
      <c r="B41" s="5"/>
      <c r="C41" s="5"/>
      <c r="D41" s="5"/>
      <c r="E41" s="9"/>
    </row>
    <row r="42">
      <c r="A42" s="5"/>
      <c r="B42" s="5"/>
      <c r="C42" s="5"/>
      <c r="D42" s="5"/>
      <c r="E42" s="9"/>
    </row>
    <row r="43">
      <c r="A43" s="5"/>
      <c r="B43" s="5"/>
      <c r="C43" s="5"/>
      <c r="D43" s="5"/>
      <c r="E43" s="9"/>
    </row>
    <row r="44">
      <c r="A44" s="5"/>
      <c r="B44" s="5"/>
      <c r="C44" s="5"/>
      <c r="D44" s="5"/>
      <c r="E44" s="9"/>
    </row>
    <row r="45">
      <c r="A45" s="5"/>
      <c r="B45" s="5"/>
      <c r="C45" s="5"/>
      <c r="D45" s="5"/>
      <c r="E45" s="9"/>
    </row>
    <row r="46">
      <c r="A46" s="5"/>
      <c r="B46" s="5"/>
      <c r="C46" s="5"/>
      <c r="D46" s="5"/>
      <c r="E46" s="9"/>
    </row>
    <row r="47">
      <c r="A47" s="5"/>
      <c r="B47" s="5"/>
      <c r="C47" s="5"/>
      <c r="D47" s="5"/>
      <c r="E47" s="9"/>
    </row>
    <row r="48">
      <c r="A48" s="5"/>
      <c r="B48" s="5"/>
      <c r="C48" s="5"/>
      <c r="D48" s="5"/>
      <c r="E48" s="9"/>
    </row>
    <row r="49">
      <c r="A49" s="5"/>
      <c r="B49" s="5"/>
      <c r="C49" s="5"/>
      <c r="D49" s="5"/>
      <c r="E49" s="9"/>
    </row>
    <row r="50">
      <c r="A50" s="5"/>
      <c r="B50" s="5"/>
      <c r="C50" s="5"/>
      <c r="D50" s="5"/>
      <c r="E50" s="9"/>
    </row>
    <row r="51">
      <c r="A51" s="5"/>
      <c r="B51" s="5"/>
      <c r="C51" s="5"/>
      <c r="D51" s="5"/>
      <c r="E51" s="9"/>
    </row>
    <row r="52">
      <c r="A52" s="5"/>
      <c r="B52" s="5"/>
      <c r="C52" s="5"/>
      <c r="D52" s="5"/>
      <c r="E52" s="9"/>
    </row>
    <row r="53">
      <c r="A53" s="5"/>
      <c r="B53" s="5"/>
      <c r="C53" s="5"/>
      <c r="D53" s="5"/>
      <c r="E53" s="9"/>
    </row>
    <row r="54">
      <c r="A54" s="5"/>
      <c r="B54" s="5"/>
      <c r="C54" s="5"/>
      <c r="D54" s="5"/>
      <c r="E54" s="9"/>
    </row>
    <row r="55">
      <c r="A55" s="5"/>
      <c r="B55" s="5"/>
      <c r="C55" s="5"/>
      <c r="D55" s="5"/>
      <c r="E55" s="9"/>
    </row>
    <row r="56">
      <c r="A56" s="5"/>
      <c r="B56" s="5"/>
      <c r="C56" s="5"/>
      <c r="D56" s="5"/>
      <c r="E56" s="9"/>
    </row>
    <row r="57">
      <c r="A57" s="5"/>
      <c r="B57" s="5"/>
      <c r="C57" s="5"/>
      <c r="D57" s="5"/>
      <c r="E57" s="9"/>
    </row>
    <row r="58">
      <c r="A58" s="5"/>
      <c r="B58" s="5"/>
      <c r="C58" s="5"/>
      <c r="D58" s="5"/>
      <c r="E58" s="9"/>
    </row>
    <row r="59">
      <c r="A59" s="5"/>
      <c r="B59" s="5"/>
      <c r="C59" s="5"/>
      <c r="D59" s="5"/>
      <c r="E59" s="9"/>
    </row>
    <row r="60">
      <c r="A60" s="5"/>
      <c r="B60" s="5"/>
      <c r="C60" s="5"/>
      <c r="D60" s="5"/>
      <c r="E60" s="9"/>
    </row>
    <row r="61">
      <c r="A61" s="5"/>
      <c r="B61" s="5"/>
      <c r="C61" s="5"/>
      <c r="D61" s="5"/>
      <c r="E61" s="9"/>
    </row>
    <row r="62">
      <c r="A62" s="5"/>
      <c r="B62" s="5"/>
      <c r="C62" s="5"/>
      <c r="D62" s="5"/>
      <c r="E62" s="9"/>
    </row>
    <row r="63">
      <c r="A63" s="5"/>
      <c r="B63" s="5"/>
      <c r="C63" s="5"/>
      <c r="D63" s="5"/>
      <c r="E63" s="9"/>
    </row>
    <row r="64">
      <c r="A64" s="5"/>
      <c r="B64" s="5"/>
      <c r="C64" s="5"/>
      <c r="D64" s="5"/>
      <c r="E64" s="9"/>
    </row>
    <row r="65">
      <c r="A65" s="5"/>
      <c r="B65" s="5"/>
      <c r="C65" s="5"/>
      <c r="D65" s="5"/>
      <c r="E65" s="9"/>
    </row>
    <row r="66">
      <c r="A66" s="5"/>
      <c r="B66" s="5"/>
      <c r="C66" s="5"/>
      <c r="D66" s="5"/>
      <c r="E66" s="9"/>
    </row>
    <row r="67">
      <c r="A67" s="5"/>
      <c r="B67" s="5"/>
      <c r="C67" s="5"/>
      <c r="D67" s="5"/>
      <c r="E67" s="9"/>
    </row>
    <row r="68">
      <c r="A68" s="5"/>
      <c r="B68" s="5"/>
      <c r="C68" s="5"/>
      <c r="D68" s="5"/>
      <c r="E68" s="9"/>
    </row>
    <row r="69">
      <c r="A69" s="5"/>
      <c r="B69" s="5"/>
      <c r="C69" s="5"/>
      <c r="D69" s="5"/>
      <c r="E69" s="9"/>
    </row>
    <row r="70">
      <c r="A70" s="5"/>
      <c r="B70" s="5"/>
      <c r="C70" s="5"/>
      <c r="D70" s="5"/>
      <c r="E70" s="9"/>
    </row>
    <row r="71">
      <c r="A71" s="5"/>
      <c r="B71" s="5"/>
      <c r="C71" s="5"/>
      <c r="D71" s="5"/>
      <c r="E71" s="9"/>
    </row>
    <row r="72">
      <c r="A72" s="5"/>
      <c r="B72" s="5"/>
      <c r="C72" s="5"/>
      <c r="D72" s="5"/>
      <c r="E72" s="9"/>
    </row>
    <row r="73">
      <c r="A73" s="5"/>
      <c r="B73" s="5"/>
      <c r="C73" s="5"/>
      <c r="D73" s="5"/>
      <c r="E73" s="9"/>
    </row>
    <row r="74">
      <c r="A74" s="5"/>
      <c r="B74" s="5"/>
      <c r="C74" s="5"/>
      <c r="D74" s="5"/>
      <c r="E74" s="9"/>
    </row>
    <row r="75">
      <c r="A75" s="5"/>
      <c r="B75" s="5"/>
      <c r="C75" s="5"/>
      <c r="D75" s="5"/>
      <c r="E75" s="9"/>
    </row>
    <row r="76">
      <c r="A76" s="5"/>
      <c r="B76" s="5"/>
      <c r="C76" s="5"/>
      <c r="D76" s="5"/>
      <c r="E76" s="9"/>
    </row>
    <row r="77">
      <c r="A77" s="5"/>
      <c r="B77" s="5"/>
      <c r="C77" s="5"/>
      <c r="D77" s="5"/>
      <c r="E77" s="9"/>
    </row>
    <row r="78">
      <c r="A78" s="5"/>
      <c r="B78" s="5"/>
      <c r="C78" s="5"/>
      <c r="D78" s="5"/>
      <c r="E78" s="9"/>
    </row>
    <row r="79">
      <c r="A79" s="5"/>
      <c r="B79" s="5"/>
      <c r="C79" s="5"/>
      <c r="D79" s="5"/>
      <c r="E79" s="9"/>
    </row>
    <row r="80">
      <c r="A80" s="5"/>
      <c r="B80" s="5"/>
      <c r="C80" s="5"/>
      <c r="D80" s="5"/>
      <c r="E80" s="9"/>
    </row>
    <row r="81">
      <c r="A81" s="5"/>
      <c r="B81" s="5"/>
      <c r="C81" s="5"/>
      <c r="D81" s="5"/>
      <c r="E81" s="9"/>
    </row>
    <row r="82">
      <c r="A82" s="5"/>
      <c r="B82" s="5"/>
      <c r="C82" s="5"/>
      <c r="D82" s="5"/>
      <c r="E82" s="9"/>
    </row>
    <row r="83">
      <c r="A83" s="5"/>
      <c r="B83" s="5"/>
      <c r="C83" s="5"/>
      <c r="D83" s="5"/>
      <c r="E83" s="9"/>
    </row>
    <row r="84">
      <c r="A84" s="5"/>
      <c r="B84" s="5"/>
      <c r="C84" s="5"/>
      <c r="D84" s="5"/>
      <c r="E84" s="9"/>
    </row>
    <row r="85">
      <c r="A85" s="5"/>
      <c r="B85" s="5"/>
      <c r="C85" s="5"/>
      <c r="D85" s="5"/>
      <c r="E85" s="9"/>
    </row>
    <row r="86">
      <c r="A86" s="5"/>
      <c r="B86" s="5"/>
      <c r="C86" s="5"/>
      <c r="D86" s="5"/>
      <c r="E86" s="9"/>
    </row>
    <row r="87">
      <c r="A87" s="5"/>
      <c r="B87" s="5"/>
      <c r="C87" s="5"/>
      <c r="D87" s="5"/>
      <c r="E87" s="9"/>
    </row>
    <row r="88">
      <c r="A88" s="5"/>
      <c r="B88" s="5"/>
      <c r="C88" s="5"/>
      <c r="D88" s="5"/>
      <c r="E88" s="9"/>
    </row>
    <row r="89">
      <c r="A89" s="5"/>
      <c r="B89" s="5"/>
      <c r="C89" s="5"/>
      <c r="D89" s="5"/>
      <c r="E89" s="9"/>
    </row>
    <row r="90">
      <c r="A90" s="5"/>
      <c r="B90" s="5"/>
      <c r="C90" s="5"/>
      <c r="D90" s="5"/>
      <c r="E90" s="9"/>
    </row>
    <row r="91">
      <c r="A91" s="5"/>
      <c r="B91" s="5"/>
      <c r="C91" s="5"/>
      <c r="D91" s="5"/>
      <c r="E91" s="9"/>
    </row>
    <row r="92">
      <c r="A92" s="5"/>
      <c r="B92" s="5"/>
      <c r="C92" s="5"/>
      <c r="D92" s="5"/>
      <c r="E92" s="9"/>
    </row>
    <row r="93">
      <c r="A93" s="5"/>
      <c r="B93" s="5"/>
      <c r="C93" s="5"/>
      <c r="D93" s="5"/>
      <c r="E93" s="9"/>
    </row>
    <row r="94">
      <c r="A94" s="5"/>
      <c r="B94" s="5"/>
      <c r="C94" s="5"/>
      <c r="D94" s="5"/>
      <c r="E94" s="9"/>
    </row>
    <row r="95">
      <c r="A95" s="5"/>
      <c r="B95" s="5"/>
      <c r="C95" s="5"/>
      <c r="D95" s="5"/>
      <c r="E95" s="9"/>
    </row>
    <row r="96">
      <c r="A96" s="5"/>
      <c r="B96" s="5"/>
      <c r="C96" s="5"/>
      <c r="D96" s="5"/>
      <c r="E96" s="9"/>
    </row>
    <row r="97">
      <c r="A97" s="5"/>
      <c r="B97" s="5"/>
      <c r="C97" s="5"/>
      <c r="D97" s="5"/>
      <c r="E97" s="9"/>
    </row>
    <row r="98">
      <c r="A98" s="5"/>
      <c r="B98" s="5"/>
      <c r="C98" s="5"/>
      <c r="D98" s="5"/>
      <c r="E98" s="9"/>
    </row>
    <row r="99">
      <c r="A99" s="5"/>
      <c r="B99" s="5"/>
      <c r="C99" s="5"/>
      <c r="D99" s="5"/>
      <c r="E99" s="9"/>
    </row>
    <row r="100">
      <c r="A100" s="5"/>
      <c r="B100" s="5"/>
      <c r="C100" s="5"/>
      <c r="D100" s="5"/>
      <c r="E100" s="9"/>
    </row>
    <row r="101">
      <c r="A101" s="5"/>
      <c r="B101" s="5"/>
      <c r="C101" s="5"/>
      <c r="D101" s="5"/>
      <c r="E101" s="9"/>
    </row>
    <row r="102">
      <c r="A102" s="5"/>
      <c r="B102" s="5"/>
      <c r="C102" s="5"/>
      <c r="D102" s="5"/>
      <c r="E102" s="9"/>
    </row>
    <row r="103">
      <c r="A103" s="5"/>
      <c r="B103" s="5"/>
      <c r="C103" s="5"/>
      <c r="D103" s="5"/>
      <c r="E103" s="9"/>
    </row>
    <row r="104">
      <c r="A104" s="5"/>
      <c r="B104" s="5"/>
      <c r="C104" s="5"/>
      <c r="D104" s="5"/>
      <c r="E104" s="9"/>
    </row>
    <row r="105">
      <c r="A105" s="5"/>
      <c r="B105" s="5"/>
      <c r="C105" s="5"/>
      <c r="D105" s="5"/>
      <c r="E105" s="9"/>
    </row>
    <row r="106">
      <c r="A106" s="5"/>
      <c r="B106" s="5"/>
      <c r="C106" s="5"/>
      <c r="D106" s="5"/>
      <c r="E106" s="9"/>
    </row>
    <row r="107">
      <c r="A107" s="5"/>
      <c r="B107" s="5"/>
      <c r="C107" s="5"/>
      <c r="D107" s="5"/>
      <c r="E107" s="9"/>
    </row>
    <row r="108">
      <c r="A108" s="5"/>
      <c r="B108" s="5"/>
      <c r="C108" s="5"/>
      <c r="D108" s="5"/>
      <c r="E108" s="9"/>
    </row>
    <row r="109">
      <c r="A109" s="5"/>
      <c r="B109" s="5"/>
      <c r="C109" s="5"/>
      <c r="D109" s="5"/>
      <c r="E109" s="9"/>
    </row>
  </sheetData>
  <mergeCells count="5">
    <mergeCell ref="A4:A7"/>
    <mergeCell ref="A8:A11"/>
    <mergeCell ref="A12:A14"/>
    <mergeCell ref="A15:A18"/>
    <mergeCell ref="A19:A2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43"/>
    <col customWidth="1" min="2" max="2" width="38.86"/>
  </cols>
  <sheetData>
    <row r="1">
      <c r="A1" s="103" t="s">
        <v>1923</v>
      </c>
    </row>
    <row r="2">
      <c r="A2" s="155"/>
      <c r="B2" s="156"/>
      <c r="C2" s="157" t="s">
        <v>9</v>
      </c>
      <c r="D2" s="158"/>
      <c r="E2" s="158"/>
      <c r="F2" s="159"/>
      <c r="G2" s="157" t="s">
        <v>10</v>
      </c>
      <c r="H2" s="159"/>
      <c r="I2" s="160"/>
    </row>
    <row r="3">
      <c r="A3" s="156"/>
      <c r="B3" s="156"/>
      <c r="C3" s="161" t="s">
        <v>56</v>
      </c>
      <c r="D3" s="162" t="s">
        <v>296</v>
      </c>
      <c r="E3" s="162" t="s">
        <v>180</v>
      </c>
      <c r="F3" s="163" t="s">
        <v>278</v>
      </c>
      <c r="G3" s="161" t="s">
        <v>149</v>
      </c>
      <c r="H3" s="163" t="s">
        <v>60</v>
      </c>
      <c r="I3" s="164" t="s">
        <v>1630</v>
      </c>
    </row>
    <row r="4">
      <c r="A4" s="165" t="s">
        <v>1990</v>
      </c>
      <c r="B4" s="166" t="s">
        <v>1941</v>
      </c>
      <c r="C4" s="167">
        <v>8.0</v>
      </c>
      <c r="D4" s="166">
        <v>11.0</v>
      </c>
      <c r="E4" s="166">
        <v>12.0</v>
      </c>
      <c r="F4" s="168">
        <v>8.0</v>
      </c>
      <c r="G4" s="167">
        <v>15.0</v>
      </c>
      <c r="H4" s="168">
        <v>24.0</v>
      </c>
      <c r="I4" s="169">
        <v>39.0</v>
      </c>
    </row>
    <row r="5">
      <c r="A5" s="170"/>
      <c r="B5" s="171" t="s">
        <v>1944</v>
      </c>
      <c r="C5" s="172">
        <v>4.0</v>
      </c>
      <c r="D5" s="171">
        <v>7.0</v>
      </c>
      <c r="E5" s="171">
        <v>3.0</v>
      </c>
      <c r="F5" s="173">
        <v>3.0</v>
      </c>
      <c r="G5" s="172">
        <v>9.0</v>
      </c>
      <c r="H5" s="173">
        <v>8.0</v>
      </c>
      <c r="I5" s="174">
        <v>17.0</v>
      </c>
    </row>
    <row r="6">
      <c r="A6" s="175"/>
      <c r="B6" s="176" t="s">
        <v>1950</v>
      </c>
      <c r="C6" s="177">
        <v>1.0</v>
      </c>
      <c r="D6" s="176">
        <v>4.0</v>
      </c>
      <c r="E6" s="176">
        <v>1.0</v>
      </c>
      <c r="F6" s="178">
        <v>3.0</v>
      </c>
      <c r="G6" s="177">
        <v>6.0</v>
      </c>
      <c r="H6" s="178">
        <v>3.0</v>
      </c>
      <c r="I6" s="179">
        <v>9.0</v>
      </c>
    </row>
    <row r="7">
      <c r="A7" s="170"/>
      <c r="B7" s="171" t="s">
        <v>1947</v>
      </c>
      <c r="C7" s="172">
        <v>1.0</v>
      </c>
      <c r="D7" s="171">
        <v>3.0</v>
      </c>
      <c r="E7" s="171">
        <v>2.0</v>
      </c>
      <c r="F7" s="173">
        <v>2.0</v>
      </c>
      <c r="G7" s="172">
        <v>4.0</v>
      </c>
      <c r="H7" s="173">
        <v>4.0</v>
      </c>
      <c r="I7" s="174">
        <v>8.0</v>
      </c>
    </row>
    <row r="8">
      <c r="A8" s="180"/>
      <c r="B8" s="181" t="s">
        <v>1674</v>
      </c>
      <c r="C8" s="181">
        <v>14.0</v>
      </c>
      <c r="D8" s="182">
        <v>25.0</v>
      </c>
      <c r="E8" s="182">
        <v>18.0</v>
      </c>
      <c r="F8" s="183">
        <v>16.0</v>
      </c>
      <c r="G8" s="181">
        <v>34.0</v>
      </c>
      <c r="H8" s="183">
        <v>39.0</v>
      </c>
      <c r="I8" s="184">
        <v>73.0</v>
      </c>
    </row>
    <row r="9">
      <c r="A9" s="185" t="s">
        <v>1991</v>
      </c>
      <c r="B9" s="186" t="s">
        <v>1967</v>
      </c>
      <c r="C9" s="187">
        <v>9.0</v>
      </c>
      <c r="D9" s="186">
        <v>5.0</v>
      </c>
      <c r="E9" s="186">
        <v>4.0</v>
      </c>
      <c r="F9" s="188">
        <v>9.0</v>
      </c>
      <c r="G9" s="187">
        <v>15.0</v>
      </c>
      <c r="H9" s="188">
        <v>12.0</v>
      </c>
      <c r="I9" s="189">
        <v>27.0</v>
      </c>
    </row>
    <row r="10">
      <c r="A10" s="175"/>
      <c r="B10" s="176" t="s">
        <v>1970</v>
      </c>
      <c r="C10" s="177">
        <v>4.0</v>
      </c>
      <c r="D10" s="176">
        <v>2.0</v>
      </c>
      <c r="E10" s="176">
        <v>1.0</v>
      </c>
      <c r="F10" s="178">
        <v>7.0</v>
      </c>
      <c r="G10" s="177">
        <v>6.0</v>
      </c>
      <c r="H10" s="178">
        <v>8.0</v>
      </c>
      <c r="I10" s="179">
        <v>14.0</v>
      </c>
    </row>
    <row r="11">
      <c r="A11" s="170"/>
      <c r="B11" s="171" t="s">
        <v>1964</v>
      </c>
      <c r="C11" s="172">
        <v>4.0</v>
      </c>
      <c r="D11" s="171">
        <v>3.0</v>
      </c>
      <c r="E11" s="171">
        <v>2.0</v>
      </c>
      <c r="F11" s="173">
        <v>1.0</v>
      </c>
      <c r="G11" s="172">
        <v>4.0</v>
      </c>
      <c r="H11" s="173">
        <v>6.0</v>
      </c>
      <c r="I11" s="174">
        <v>10.0</v>
      </c>
    </row>
    <row r="12">
      <c r="A12" s="175"/>
      <c r="B12" s="176" t="s">
        <v>1973</v>
      </c>
      <c r="C12" s="177">
        <v>3.0</v>
      </c>
      <c r="D12" s="176">
        <v>2.0</v>
      </c>
      <c r="E12" s="176">
        <v>1.0</v>
      </c>
      <c r="F12" s="178">
        <v>1.0</v>
      </c>
      <c r="G12" s="177">
        <v>4.0</v>
      </c>
      <c r="H12" s="178">
        <v>3.0</v>
      </c>
      <c r="I12" s="179">
        <v>7.0</v>
      </c>
    </row>
    <row r="13">
      <c r="A13" s="170"/>
      <c r="B13" s="171" t="s">
        <v>1987</v>
      </c>
      <c r="C13" s="172">
        <v>3.0</v>
      </c>
      <c r="D13" s="171">
        <v>1.0</v>
      </c>
      <c r="E13" s="171">
        <v>0.0</v>
      </c>
      <c r="F13" s="173">
        <v>1.0</v>
      </c>
      <c r="G13" s="172">
        <v>1.0</v>
      </c>
      <c r="H13" s="173">
        <v>4.0</v>
      </c>
      <c r="I13" s="174">
        <v>5.0</v>
      </c>
    </row>
    <row r="14">
      <c r="A14" s="180"/>
      <c r="B14" s="181" t="s">
        <v>1674</v>
      </c>
      <c r="C14" s="181">
        <v>23.0</v>
      </c>
      <c r="D14" s="182">
        <v>13.0</v>
      </c>
      <c r="E14" s="182">
        <v>8.0</v>
      </c>
      <c r="F14" s="183">
        <v>19.0</v>
      </c>
      <c r="G14" s="181">
        <v>30.0</v>
      </c>
      <c r="H14" s="183">
        <v>33.0</v>
      </c>
      <c r="I14" s="184">
        <v>63.0</v>
      </c>
    </row>
    <row r="15">
      <c r="A15" s="165" t="s">
        <v>1992</v>
      </c>
      <c r="B15" s="186" t="s">
        <v>1928</v>
      </c>
      <c r="C15" s="187">
        <v>11.0</v>
      </c>
      <c r="D15" s="186">
        <v>8.0</v>
      </c>
      <c r="E15" s="186">
        <v>9.0</v>
      </c>
      <c r="F15" s="188">
        <v>12.0</v>
      </c>
      <c r="G15" s="187">
        <v>18.0</v>
      </c>
      <c r="H15" s="188">
        <v>22.0</v>
      </c>
      <c r="I15" s="189">
        <v>40.0</v>
      </c>
    </row>
    <row r="16">
      <c r="A16" s="175"/>
      <c r="B16" s="176" t="s">
        <v>1931</v>
      </c>
      <c r="C16" s="177">
        <v>1.0</v>
      </c>
      <c r="D16" s="176">
        <v>2.0</v>
      </c>
      <c r="E16" s="176">
        <v>2.0</v>
      </c>
      <c r="F16" s="178">
        <v>1.0</v>
      </c>
      <c r="G16" s="177">
        <v>3.0</v>
      </c>
      <c r="H16" s="178">
        <v>3.0</v>
      </c>
      <c r="I16" s="179">
        <v>6.0</v>
      </c>
    </row>
    <row r="17">
      <c r="A17" s="170"/>
      <c r="B17" s="171" t="s">
        <v>1937</v>
      </c>
      <c r="C17" s="172">
        <v>0.0</v>
      </c>
      <c r="D17" s="171">
        <v>3.0</v>
      </c>
      <c r="E17" s="171">
        <v>0.0</v>
      </c>
      <c r="F17" s="173">
        <v>3.0</v>
      </c>
      <c r="G17" s="172">
        <v>5.0</v>
      </c>
      <c r="H17" s="173">
        <v>1.0</v>
      </c>
      <c r="I17" s="174">
        <v>6.0</v>
      </c>
    </row>
    <row r="18">
      <c r="A18" s="175"/>
      <c r="B18" s="176" t="s">
        <v>1934</v>
      </c>
      <c r="C18" s="177">
        <v>0.0</v>
      </c>
      <c r="D18" s="176">
        <v>1.0</v>
      </c>
      <c r="E18" s="176">
        <v>2.0</v>
      </c>
      <c r="F18" s="178">
        <v>2.0</v>
      </c>
      <c r="G18" s="177">
        <v>2.0</v>
      </c>
      <c r="H18" s="178">
        <v>3.0</v>
      </c>
      <c r="I18" s="179">
        <v>5.0</v>
      </c>
    </row>
    <row r="19">
      <c r="A19" s="190"/>
      <c r="B19" s="191" t="s">
        <v>1674</v>
      </c>
      <c r="C19" s="191">
        <v>12.0</v>
      </c>
      <c r="D19" s="192">
        <v>14.0</v>
      </c>
      <c r="E19" s="192">
        <v>13.0</v>
      </c>
      <c r="F19" s="193">
        <v>18.0</v>
      </c>
      <c r="G19" s="191">
        <v>28.0</v>
      </c>
      <c r="H19" s="193">
        <v>29.0</v>
      </c>
      <c r="I19" s="194">
        <v>57.0</v>
      </c>
    </row>
    <row r="20">
      <c r="A20" s="185" t="s">
        <v>1993</v>
      </c>
      <c r="B20" s="166" t="s">
        <v>1960</v>
      </c>
      <c r="C20" s="167">
        <v>6.0</v>
      </c>
      <c r="D20" s="166">
        <v>3.0</v>
      </c>
      <c r="E20" s="166">
        <v>7.0</v>
      </c>
      <c r="F20" s="168">
        <v>4.0</v>
      </c>
      <c r="G20" s="167">
        <v>5.0</v>
      </c>
      <c r="H20" s="168">
        <v>15.0</v>
      </c>
      <c r="I20" s="169">
        <v>20.0</v>
      </c>
    </row>
    <row r="21">
      <c r="A21" s="170"/>
      <c r="B21" s="171" t="s">
        <v>1954</v>
      </c>
      <c r="C21" s="172">
        <v>5.0</v>
      </c>
      <c r="D21" s="171">
        <v>2.0</v>
      </c>
      <c r="E21" s="171">
        <v>4.0</v>
      </c>
      <c r="F21" s="173">
        <v>6.0</v>
      </c>
      <c r="G21" s="172">
        <v>6.0</v>
      </c>
      <c r="H21" s="173">
        <v>11.0</v>
      </c>
      <c r="I21" s="174">
        <v>17.0</v>
      </c>
    </row>
    <row r="22">
      <c r="A22" s="175"/>
      <c r="B22" s="176" t="s">
        <v>1957</v>
      </c>
      <c r="C22" s="177">
        <v>2.0</v>
      </c>
      <c r="D22" s="176">
        <v>3.0</v>
      </c>
      <c r="E22" s="176">
        <v>8.0</v>
      </c>
      <c r="F22" s="178">
        <v>4.0</v>
      </c>
      <c r="G22" s="177">
        <v>3.0</v>
      </c>
      <c r="H22" s="178">
        <v>14.0</v>
      </c>
      <c r="I22" s="179">
        <v>17.0</v>
      </c>
    </row>
    <row r="23">
      <c r="A23" s="190"/>
      <c r="B23" s="191" t="s">
        <v>1674</v>
      </c>
      <c r="C23" s="191">
        <v>13.0</v>
      </c>
      <c r="D23" s="192">
        <v>8.0</v>
      </c>
      <c r="E23" s="192">
        <v>19.0</v>
      </c>
      <c r="F23" s="193">
        <v>14.0</v>
      </c>
      <c r="G23" s="191">
        <v>14.0</v>
      </c>
      <c r="H23" s="193">
        <v>40.0</v>
      </c>
      <c r="I23" s="194">
        <v>54.0</v>
      </c>
    </row>
    <row r="24">
      <c r="A24" s="165" t="s">
        <v>1986</v>
      </c>
      <c r="B24" s="166" t="s">
        <v>1977</v>
      </c>
      <c r="C24" s="167">
        <v>5.0</v>
      </c>
      <c r="D24" s="166">
        <v>0.0</v>
      </c>
      <c r="E24" s="166">
        <v>4.0</v>
      </c>
      <c r="F24" s="168">
        <v>3.0</v>
      </c>
      <c r="G24" s="167">
        <v>0.0</v>
      </c>
      <c r="H24" s="168">
        <v>12.0</v>
      </c>
      <c r="I24" s="169">
        <v>12.0</v>
      </c>
    </row>
    <row r="25">
      <c r="A25" s="170"/>
      <c r="B25" s="171" t="s">
        <v>1994</v>
      </c>
      <c r="C25" s="172">
        <v>2.0</v>
      </c>
      <c r="D25" s="171">
        <v>3.0</v>
      </c>
      <c r="E25" s="171">
        <v>1.0</v>
      </c>
      <c r="F25" s="173">
        <v>2.0</v>
      </c>
      <c r="G25" s="172">
        <v>6.0</v>
      </c>
      <c r="H25" s="173">
        <v>2.0</v>
      </c>
      <c r="I25" s="174">
        <v>8.0</v>
      </c>
    </row>
    <row r="26">
      <c r="A26" s="175"/>
      <c r="B26" s="176" t="s">
        <v>210</v>
      </c>
      <c r="C26" s="177">
        <v>6.0</v>
      </c>
      <c r="D26" s="176">
        <v>2.0</v>
      </c>
      <c r="E26" s="176">
        <v>3.0</v>
      </c>
      <c r="F26" s="178">
        <v>4.0</v>
      </c>
      <c r="G26" s="177">
        <v>6.0</v>
      </c>
      <c r="H26" s="178">
        <v>9.0</v>
      </c>
      <c r="I26" s="179">
        <v>15.0</v>
      </c>
    </row>
    <row r="27">
      <c r="A27" s="190"/>
      <c r="B27" s="195" t="s">
        <v>1674</v>
      </c>
      <c r="C27" s="196">
        <v>13.0</v>
      </c>
      <c r="D27" s="197">
        <v>5.0</v>
      </c>
      <c r="E27" s="197">
        <v>8.0</v>
      </c>
      <c r="F27" s="198">
        <v>9.0</v>
      </c>
      <c r="G27" s="196">
        <v>12.0</v>
      </c>
      <c r="H27" s="198">
        <v>23.0</v>
      </c>
      <c r="I27" s="199">
        <v>35.0</v>
      </c>
    </row>
    <row r="29">
      <c r="A29" s="5"/>
    </row>
    <row r="30">
      <c r="A30" s="5"/>
      <c r="C30" s="1" t="s">
        <v>9</v>
      </c>
      <c r="G30" s="1" t="s">
        <v>10</v>
      </c>
    </row>
    <row r="31">
      <c r="A31" s="5"/>
      <c r="C31" s="1" t="s">
        <v>56</v>
      </c>
      <c r="D31" s="1" t="s">
        <v>296</v>
      </c>
      <c r="E31" s="1" t="s">
        <v>180</v>
      </c>
      <c r="F31" s="1" t="s">
        <v>278</v>
      </c>
      <c r="G31" s="1" t="s">
        <v>149</v>
      </c>
      <c r="H31" s="1" t="s">
        <v>60</v>
      </c>
      <c r="I31" s="1" t="s">
        <v>1630</v>
      </c>
    </row>
    <row r="32">
      <c r="A32" s="5"/>
      <c r="C32" s="1" t="s">
        <v>1995</v>
      </c>
      <c r="D32" s="1" t="s">
        <v>1995</v>
      </c>
      <c r="E32" s="1" t="s">
        <v>1995</v>
      </c>
      <c r="F32" s="1" t="s">
        <v>1995</v>
      </c>
      <c r="G32" s="1" t="s">
        <v>1995</v>
      </c>
      <c r="H32" s="1" t="s">
        <v>1995</v>
      </c>
      <c r="I32" s="1" t="s">
        <v>1995</v>
      </c>
    </row>
    <row r="33">
      <c r="A33" s="200" t="s">
        <v>1992</v>
      </c>
      <c r="B33" s="201" t="s">
        <v>1928</v>
      </c>
      <c r="C33" s="202">
        <v>0.289</v>
      </c>
      <c r="D33" s="202">
        <v>0.235</v>
      </c>
      <c r="E33" s="202">
        <v>0.3</v>
      </c>
      <c r="F33" s="202">
        <v>0.364</v>
      </c>
      <c r="G33" s="202">
        <v>0.321</v>
      </c>
      <c r="H33" s="202">
        <v>0.278</v>
      </c>
      <c r="I33" s="203">
        <v>0.296</v>
      </c>
    </row>
    <row r="34">
      <c r="A34" s="60"/>
      <c r="B34" s="1" t="s">
        <v>1931</v>
      </c>
      <c r="C34" s="111">
        <v>0.026</v>
      </c>
      <c r="D34" s="111">
        <v>0.059</v>
      </c>
      <c r="E34" s="111">
        <v>0.067</v>
      </c>
      <c r="F34" s="111">
        <v>0.03</v>
      </c>
      <c r="G34" s="111">
        <v>0.054</v>
      </c>
      <c r="H34" s="111">
        <v>0.038</v>
      </c>
      <c r="I34" s="204">
        <v>0.044</v>
      </c>
    </row>
    <row r="35">
      <c r="A35" s="60"/>
      <c r="B35" s="1" t="s">
        <v>1934</v>
      </c>
      <c r="C35" s="111">
        <v>0.0</v>
      </c>
      <c r="D35" s="111">
        <v>0.029</v>
      </c>
      <c r="E35" s="111">
        <v>0.067</v>
      </c>
      <c r="F35" s="111">
        <v>0.061</v>
      </c>
      <c r="G35" s="111">
        <v>0.036</v>
      </c>
      <c r="H35" s="111">
        <v>0.038</v>
      </c>
      <c r="I35" s="204">
        <v>0.037</v>
      </c>
    </row>
    <row r="36">
      <c r="A36" s="52"/>
      <c r="B36" s="109" t="s">
        <v>1937</v>
      </c>
      <c r="C36" s="205">
        <v>0.0</v>
      </c>
      <c r="D36" s="205">
        <v>0.088</v>
      </c>
      <c r="E36" s="205">
        <v>0.0</v>
      </c>
      <c r="F36" s="205">
        <v>0.091</v>
      </c>
      <c r="G36" s="205">
        <v>0.089</v>
      </c>
      <c r="H36" s="205">
        <v>0.013</v>
      </c>
      <c r="I36" s="206">
        <v>0.044</v>
      </c>
    </row>
    <row r="37">
      <c r="A37" s="207" t="s">
        <v>1990</v>
      </c>
      <c r="B37" s="201" t="s">
        <v>1941</v>
      </c>
      <c r="C37" s="202">
        <v>0.211</v>
      </c>
      <c r="D37" s="202">
        <v>0.324</v>
      </c>
      <c r="E37" s="202">
        <v>0.4</v>
      </c>
      <c r="F37" s="202">
        <v>0.242</v>
      </c>
      <c r="G37" s="202">
        <v>0.268</v>
      </c>
      <c r="H37" s="202">
        <v>0.304</v>
      </c>
      <c r="I37" s="203">
        <v>0.289</v>
      </c>
    </row>
    <row r="38">
      <c r="A38" s="60"/>
      <c r="B38" s="1" t="s">
        <v>1944</v>
      </c>
      <c r="C38" s="111">
        <v>0.105</v>
      </c>
      <c r="D38" s="111">
        <v>0.206</v>
      </c>
      <c r="E38" s="111">
        <v>0.1</v>
      </c>
      <c r="F38" s="111">
        <v>0.091</v>
      </c>
      <c r="G38" s="111">
        <v>0.161</v>
      </c>
      <c r="H38" s="111">
        <v>0.101</v>
      </c>
      <c r="I38" s="204">
        <v>0.126</v>
      </c>
    </row>
    <row r="39">
      <c r="A39" s="60"/>
      <c r="B39" s="1" t="s">
        <v>1947</v>
      </c>
      <c r="C39" s="111">
        <v>0.026</v>
      </c>
      <c r="D39" s="111">
        <v>0.088</v>
      </c>
      <c r="E39" s="111">
        <v>0.067</v>
      </c>
      <c r="F39" s="111">
        <v>0.061</v>
      </c>
      <c r="G39" s="111">
        <v>0.071</v>
      </c>
      <c r="H39" s="111">
        <v>0.051</v>
      </c>
      <c r="I39" s="204">
        <v>0.059</v>
      </c>
    </row>
    <row r="40">
      <c r="A40" s="52"/>
      <c r="B40" s="109" t="s">
        <v>1950</v>
      </c>
      <c r="C40" s="205">
        <v>0.026</v>
      </c>
      <c r="D40" s="205">
        <v>0.118</v>
      </c>
      <c r="E40" s="205">
        <v>0.033</v>
      </c>
      <c r="F40" s="205">
        <v>0.091</v>
      </c>
      <c r="G40" s="205">
        <v>0.107</v>
      </c>
      <c r="H40" s="205">
        <v>0.038</v>
      </c>
      <c r="I40" s="206">
        <v>0.067</v>
      </c>
    </row>
    <row r="41">
      <c r="A41" s="207" t="s">
        <v>1996</v>
      </c>
      <c r="B41" s="201" t="s">
        <v>1954</v>
      </c>
      <c r="C41" s="202">
        <v>0.132</v>
      </c>
      <c r="D41" s="202">
        <v>0.059</v>
      </c>
      <c r="E41" s="202">
        <v>0.133</v>
      </c>
      <c r="F41" s="202">
        <v>0.182</v>
      </c>
      <c r="G41" s="202">
        <v>0.107</v>
      </c>
      <c r="H41" s="202">
        <v>0.139</v>
      </c>
      <c r="I41" s="203">
        <v>0.126</v>
      </c>
    </row>
    <row r="42">
      <c r="A42" s="60"/>
      <c r="B42" s="1" t="s">
        <v>1957</v>
      </c>
      <c r="C42" s="111">
        <v>0.053</v>
      </c>
      <c r="D42" s="111">
        <v>0.088</v>
      </c>
      <c r="E42" s="111">
        <v>0.267</v>
      </c>
      <c r="F42" s="111">
        <v>0.121</v>
      </c>
      <c r="G42" s="111">
        <v>0.054</v>
      </c>
      <c r="H42" s="111">
        <v>0.177</v>
      </c>
      <c r="I42" s="204">
        <v>0.126</v>
      </c>
    </row>
    <row r="43">
      <c r="A43" s="52"/>
      <c r="B43" s="109" t="s">
        <v>1960</v>
      </c>
      <c r="C43" s="205">
        <v>0.158</v>
      </c>
      <c r="D43" s="205">
        <v>0.088</v>
      </c>
      <c r="E43" s="205">
        <v>0.233</v>
      </c>
      <c r="F43" s="205">
        <v>0.121</v>
      </c>
      <c r="G43" s="205">
        <v>0.089</v>
      </c>
      <c r="H43" s="205">
        <v>0.19</v>
      </c>
      <c r="I43" s="206">
        <v>0.148</v>
      </c>
    </row>
    <row r="44">
      <c r="A44" s="207" t="s">
        <v>1991</v>
      </c>
      <c r="B44" s="201" t="s">
        <v>1964</v>
      </c>
      <c r="C44" s="202">
        <v>0.105</v>
      </c>
      <c r="D44" s="202">
        <v>0.088</v>
      </c>
      <c r="E44" s="202">
        <v>0.067</v>
      </c>
      <c r="F44" s="202">
        <v>0.03</v>
      </c>
      <c r="G44" s="202">
        <v>0.071</v>
      </c>
      <c r="H44" s="202">
        <v>0.076</v>
      </c>
      <c r="I44" s="203">
        <v>0.074</v>
      </c>
    </row>
    <row r="45">
      <c r="A45" s="60"/>
      <c r="B45" s="1" t="s">
        <v>1967</v>
      </c>
      <c r="C45" s="111">
        <v>0.237</v>
      </c>
      <c r="D45" s="111">
        <v>0.147</v>
      </c>
      <c r="E45" s="111">
        <v>0.133</v>
      </c>
      <c r="F45" s="111">
        <v>0.273</v>
      </c>
      <c r="G45" s="111">
        <v>0.268</v>
      </c>
      <c r="H45" s="111">
        <v>0.152</v>
      </c>
      <c r="I45" s="204">
        <v>0.2</v>
      </c>
    </row>
    <row r="46">
      <c r="A46" s="60"/>
      <c r="B46" s="1" t="s">
        <v>1970</v>
      </c>
      <c r="C46" s="111">
        <v>0.105</v>
      </c>
      <c r="D46" s="111">
        <v>0.059</v>
      </c>
      <c r="E46" s="111">
        <v>0.033</v>
      </c>
      <c r="F46" s="111">
        <v>0.212</v>
      </c>
      <c r="G46" s="111">
        <v>0.107</v>
      </c>
      <c r="H46" s="111">
        <v>0.101</v>
      </c>
      <c r="I46" s="204">
        <v>0.104</v>
      </c>
    </row>
    <row r="47">
      <c r="A47" s="60"/>
      <c r="B47" s="1" t="s">
        <v>1973</v>
      </c>
      <c r="C47" s="111">
        <v>0.079</v>
      </c>
      <c r="D47" s="111">
        <v>0.059</v>
      </c>
      <c r="E47" s="111">
        <v>0.033</v>
      </c>
      <c r="F47" s="111">
        <v>0.03</v>
      </c>
      <c r="G47" s="111">
        <v>0.071</v>
      </c>
      <c r="H47" s="111">
        <v>0.038</v>
      </c>
      <c r="I47" s="204">
        <v>0.052</v>
      </c>
    </row>
    <row r="48">
      <c r="A48" s="52"/>
      <c r="B48" s="109" t="s">
        <v>1987</v>
      </c>
      <c r="C48" s="205">
        <v>0.079</v>
      </c>
      <c r="D48" s="205">
        <v>0.029</v>
      </c>
      <c r="E48" s="205">
        <v>0.0</v>
      </c>
      <c r="F48" s="205">
        <v>0.03</v>
      </c>
      <c r="G48" s="205">
        <v>0.018</v>
      </c>
      <c r="H48" s="205">
        <v>0.051</v>
      </c>
      <c r="I48" s="206">
        <v>0.037</v>
      </c>
    </row>
    <row r="49">
      <c r="A49" s="207" t="s">
        <v>1986</v>
      </c>
      <c r="B49" s="201" t="s">
        <v>1977</v>
      </c>
      <c r="C49" s="202">
        <v>0.132</v>
      </c>
      <c r="D49" s="202">
        <v>0.0</v>
      </c>
      <c r="E49" s="202">
        <v>0.133</v>
      </c>
      <c r="F49" s="202">
        <v>0.091</v>
      </c>
      <c r="G49" s="202">
        <v>0.0</v>
      </c>
      <c r="H49" s="202">
        <v>0.152</v>
      </c>
      <c r="I49" s="203">
        <v>0.089</v>
      </c>
    </row>
    <row r="50">
      <c r="A50" s="60"/>
      <c r="B50" s="1" t="s">
        <v>1994</v>
      </c>
      <c r="C50" s="111">
        <v>0.053</v>
      </c>
      <c r="D50" s="111">
        <v>0.088</v>
      </c>
      <c r="E50" s="111">
        <v>0.033</v>
      </c>
      <c r="F50" s="111">
        <v>0.061</v>
      </c>
      <c r="G50" s="111">
        <v>0.107</v>
      </c>
      <c r="H50" s="111">
        <v>0.025</v>
      </c>
      <c r="I50" s="204">
        <v>0.059</v>
      </c>
    </row>
    <row r="51">
      <c r="A51" s="60"/>
      <c r="B51" s="1" t="s">
        <v>1997</v>
      </c>
      <c r="C51" s="111">
        <v>0.158</v>
      </c>
      <c r="D51" s="111">
        <v>0.059</v>
      </c>
      <c r="E51" s="111">
        <v>0.067</v>
      </c>
      <c r="F51" s="111">
        <v>0.121</v>
      </c>
      <c r="G51" s="111">
        <v>0.107</v>
      </c>
      <c r="H51" s="111">
        <v>0.101</v>
      </c>
      <c r="I51" s="204">
        <v>0.104</v>
      </c>
    </row>
    <row r="52">
      <c r="A52" s="52"/>
      <c r="B52" s="109" t="s">
        <v>1986</v>
      </c>
      <c r="C52" s="205">
        <v>0.0</v>
      </c>
      <c r="D52" s="205">
        <v>0.0</v>
      </c>
      <c r="E52" s="205">
        <v>0.033</v>
      </c>
      <c r="F52" s="205">
        <v>0.0</v>
      </c>
      <c r="G52" s="205">
        <v>0.0</v>
      </c>
      <c r="H52" s="205">
        <v>0.013</v>
      </c>
      <c r="I52" s="206">
        <v>0.007</v>
      </c>
    </row>
    <row r="53">
      <c r="A53" s="5"/>
    </row>
    <row r="54">
      <c r="A54" s="155"/>
      <c r="B54" s="156"/>
      <c r="C54" s="157" t="s">
        <v>9</v>
      </c>
      <c r="D54" s="158"/>
      <c r="E54" s="158"/>
      <c r="F54" s="159"/>
      <c r="G54" s="157" t="s">
        <v>10</v>
      </c>
      <c r="H54" s="159"/>
      <c r="I54" s="160"/>
    </row>
    <row r="55">
      <c r="A55" s="156"/>
      <c r="B55" s="156"/>
      <c r="C55" s="161" t="s">
        <v>56</v>
      </c>
      <c r="D55" s="162" t="s">
        <v>296</v>
      </c>
      <c r="E55" s="162" t="s">
        <v>180</v>
      </c>
      <c r="F55" s="163" t="s">
        <v>278</v>
      </c>
      <c r="G55" s="161" t="s">
        <v>149</v>
      </c>
      <c r="H55" s="163" t="s">
        <v>60</v>
      </c>
      <c r="I55" s="164" t="s">
        <v>1630</v>
      </c>
    </row>
    <row r="56">
      <c r="A56" s="208"/>
      <c r="B56" s="181" t="s">
        <v>1990</v>
      </c>
      <c r="C56" s="209">
        <v>14.0</v>
      </c>
      <c r="D56" s="182">
        <v>25.0</v>
      </c>
      <c r="E56" s="210">
        <v>18.0</v>
      </c>
      <c r="F56" s="211">
        <v>16.0</v>
      </c>
      <c r="G56" s="181">
        <v>34.0</v>
      </c>
      <c r="H56" s="183">
        <v>39.0</v>
      </c>
      <c r="I56" s="184">
        <v>73.0</v>
      </c>
    </row>
    <row r="57">
      <c r="A57" s="212"/>
      <c r="B57" s="191" t="s">
        <v>1998</v>
      </c>
      <c r="C57" s="213">
        <v>23.0</v>
      </c>
      <c r="D57" s="214">
        <v>13.0</v>
      </c>
      <c r="E57" s="214">
        <v>8.0</v>
      </c>
      <c r="F57" s="193">
        <v>19.0</v>
      </c>
      <c r="G57" s="213">
        <v>30.0</v>
      </c>
      <c r="H57" s="215">
        <v>33.0</v>
      </c>
      <c r="I57" s="194">
        <v>63.0</v>
      </c>
    </row>
    <row r="58">
      <c r="A58" s="208"/>
      <c r="B58" s="181" t="s">
        <v>1999</v>
      </c>
      <c r="C58" s="209">
        <v>12.0</v>
      </c>
      <c r="D58" s="210">
        <v>14.0</v>
      </c>
      <c r="E58" s="210">
        <v>13.0</v>
      </c>
      <c r="F58" s="183">
        <v>18.0</v>
      </c>
      <c r="G58" s="209">
        <v>28.0</v>
      </c>
      <c r="H58" s="211">
        <v>29.0</v>
      </c>
      <c r="I58" s="184">
        <v>57.0</v>
      </c>
    </row>
    <row r="59">
      <c r="A59" s="212"/>
      <c r="B59" s="191" t="s">
        <v>1993</v>
      </c>
      <c r="C59" s="213">
        <v>13.0</v>
      </c>
      <c r="D59" s="214">
        <v>8.0</v>
      </c>
      <c r="E59" s="214">
        <v>19.0</v>
      </c>
      <c r="F59" s="215">
        <v>14.0</v>
      </c>
      <c r="G59" s="213">
        <v>14.0</v>
      </c>
      <c r="H59" s="193">
        <v>40.0</v>
      </c>
      <c r="I59" s="194">
        <v>54.0</v>
      </c>
    </row>
    <row r="60">
      <c r="A60" s="208"/>
      <c r="B60" s="216" t="s">
        <v>1986</v>
      </c>
      <c r="C60" s="217">
        <v>13.0</v>
      </c>
      <c r="D60" s="218">
        <v>5.0</v>
      </c>
      <c r="E60" s="218">
        <v>8.0</v>
      </c>
      <c r="F60" s="219">
        <v>9.0</v>
      </c>
      <c r="G60" s="217">
        <v>12.0</v>
      </c>
      <c r="H60" s="219">
        <v>23.0</v>
      </c>
      <c r="I60" s="220">
        <v>35.0</v>
      </c>
    </row>
    <row r="61">
      <c r="A61" s="5"/>
    </row>
    <row r="62">
      <c r="A62" s="5"/>
    </row>
    <row r="63">
      <c r="A63" s="5"/>
    </row>
    <row r="64">
      <c r="A64" s="5"/>
    </row>
    <row r="65">
      <c r="A65" s="5"/>
    </row>
    <row r="66">
      <c r="A66" s="5"/>
    </row>
    <row r="67">
      <c r="A67" s="5"/>
    </row>
    <row r="68">
      <c r="A68" s="5"/>
    </row>
    <row r="69">
      <c r="A69" s="5"/>
    </row>
    <row r="70">
      <c r="A70" s="5"/>
    </row>
    <row r="71">
      <c r="A71" s="5"/>
    </row>
    <row r="72">
      <c r="A72" s="5"/>
    </row>
    <row r="73">
      <c r="A73" s="5"/>
    </row>
    <row r="74">
      <c r="A74" s="5"/>
    </row>
    <row r="75">
      <c r="A75" s="5"/>
    </row>
    <row r="76">
      <c r="A76" s="5"/>
    </row>
    <row r="77">
      <c r="A77" s="5"/>
    </row>
    <row r="78">
      <c r="A78" s="5"/>
    </row>
    <row r="79">
      <c r="A79" s="5"/>
    </row>
    <row r="80">
      <c r="A80" s="5"/>
    </row>
    <row r="81">
      <c r="A81" s="5"/>
    </row>
    <row r="82">
      <c r="A82" s="5"/>
    </row>
    <row r="83">
      <c r="A83" s="5"/>
    </row>
    <row r="84">
      <c r="A84" s="5"/>
    </row>
    <row r="85">
      <c r="A85" s="5"/>
    </row>
    <row r="86">
      <c r="A86" s="5"/>
    </row>
    <row r="87">
      <c r="A87" s="5"/>
    </row>
    <row r="88">
      <c r="A88" s="5"/>
    </row>
    <row r="89">
      <c r="A89" s="5"/>
    </row>
    <row r="90">
      <c r="A90" s="5"/>
    </row>
    <row r="91">
      <c r="A91" s="5"/>
    </row>
    <row r="92">
      <c r="A92" s="5"/>
    </row>
    <row r="93">
      <c r="A93" s="5"/>
    </row>
    <row r="94">
      <c r="A94" s="5"/>
    </row>
    <row r="95">
      <c r="A95" s="5"/>
    </row>
    <row r="96">
      <c r="A96" s="5"/>
    </row>
    <row r="97">
      <c r="A97" s="5"/>
    </row>
    <row r="98">
      <c r="A98" s="5"/>
    </row>
    <row r="99">
      <c r="A99" s="5"/>
    </row>
    <row r="100">
      <c r="A100" s="5"/>
    </row>
    <row r="101">
      <c r="A101" s="5"/>
    </row>
    <row r="102">
      <c r="A102" s="5"/>
    </row>
    <row r="103">
      <c r="A103" s="5"/>
    </row>
    <row r="104">
      <c r="A104" s="5"/>
    </row>
    <row r="105">
      <c r="A105" s="5"/>
    </row>
    <row r="106">
      <c r="A106" s="5"/>
    </row>
    <row r="107">
      <c r="A107" s="5"/>
    </row>
    <row r="108">
      <c r="A108" s="5"/>
    </row>
    <row r="109">
      <c r="A109" s="5"/>
    </row>
    <row r="110">
      <c r="A110" s="5"/>
    </row>
    <row r="111">
      <c r="A111" s="5"/>
    </row>
    <row r="112">
      <c r="A112" s="5"/>
    </row>
    <row r="113">
      <c r="A113" s="5"/>
    </row>
    <row r="114">
      <c r="A114" s="5"/>
    </row>
    <row r="115">
      <c r="A115" s="5"/>
    </row>
    <row r="116">
      <c r="A116" s="5"/>
    </row>
    <row r="117">
      <c r="A117" s="5"/>
    </row>
    <row r="118">
      <c r="A118" s="5"/>
    </row>
    <row r="119">
      <c r="A119" s="5"/>
    </row>
  </sheetData>
  <mergeCells count="14">
    <mergeCell ref="A33:A36"/>
    <mergeCell ref="A37:A40"/>
    <mergeCell ref="A41:A43"/>
    <mergeCell ref="A44:A48"/>
    <mergeCell ref="A49:A52"/>
    <mergeCell ref="C54:F54"/>
    <mergeCell ref="G54:H54"/>
    <mergeCell ref="C2:F2"/>
    <mergeCell ref="G2:H2"/>
    <mergeCell ref="A4:A8"/>
    <mergeCell ref="A9:A14"/>
    <mergeCell ref="A15:A19"/>
    <mergeCell ref="A20:A23"/>
    <mergeCell ref="A24:A2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35.14"/>
  </cols>
  <sheetData>
    <row r="1">
      <c r="A1" s="221" t="s">
        <v>2000</v>
      </c>
    </row>
    <row r="3">
      <c r="A3" s="5" t="s">
        <v>1748</v>
      </c>
      <c r="B3" s="5" t="s">
        <v>1749</v>
      </c>
      <c r="C3" s="5" t="s">
        <v>1924</v>
      </c>
      <c r="D3" s="5" t="s">
        <v>2001</v>
      </c>
      <c r="E3" s="5" t="s">
        <v>1926</v>
      </c>
    </row>
    <row r="4">
      <c r="A4" s="9" t="s">
        <v>2002</v>
      </c>
      <c r="B4" s="9">
        <v>100.0</v>
      </c>
      <c r="C4" s="9" t="s">
        <v>2003</v>
      </c>
      <c r="D4" s="5" t="s">
        <v>2004</v>
      </c>
    </row>
    <row r="5">
      <c r="A5" s="222"/>
      <c r="B5" s="9">
        <v>101.0</v>
      </c>
      <c r="C5" s="9" t="s">
        <v>2005</v>
      </c>
      <c r="D5" s="5" t="s">
        <v>2006</v>
      </c>
      <c r="E5" s="154" t="s">
        <v>2007</v>
      </c>
    </row>
    <row r="6">
      <c r="A6" s="222"/>
      <c r="B6" s="9">
        <v>102.0</v>
      </c>
      <c r="C6" s="9" t="s">
        <v>2008</v>
      </c>
      <c r="D6" s="5" t="s">
        <v>2009</v>
      </c>
      <c r="E6" s="154" t="s">
        <v>2010</v>
      </c>
    </row>
    <row r="7">
      <c r="A7" s="222"/>
      <c r="B7" s="9">
        <v>103.0</v>
      </c>
      <c r="C7" s="9" t="s">
        <v>2011</v>
      </c>
      <c r="D7" s="5" t="s">
        <v>2012</v>
      </c>
      <c r="E7" s="154" t="s">
        <v>2013</v>
      </c>
    </row>
    <row r="8">
      <c r="A8" s="222"/>
      <c r="B8" s="9">
        <v>104.0</v>
      </c>
      <c r="C8" s="9" t="s">
        <v>2014</v>
      </c>
      <c r="D8" s="5" t="s">
        <v>2015</v>
      </c>
      <c r="E8" s="154" t="s">
        <v>2016</v>
      </c>
    </row>
    <row r="9">
      <c r="B9" s="9">
        <v>105.0</v>
      </c>
      <c r="C9" s="9" t="s">
        <v>2017</v>
      </c>
      <c r="D9" s="5" t="s">
        <v>2018</v>
      </c>
      <c r="E9" s="154" t="s">
        <v>2019</v>
      </c>
    </row>
    <row r="10">
      <c r="A10" s="9" t="s">
        <v>2020</v>
      </c>
      <c r="B10" s="9">
        <v>200.0</v>
      </c>
      <c r="C10" s="9" t="s">
        <v>2021</v>
      </c>
      <c r="D10" s="5" t="s">
        <v>2022</v>
      </c>
    </row>
    <row r="11">
      <c r="A11" s="222"/>
      <c r="B11" s="9">
        <v>201.0</v>
      </c>
      <c r="C11" s="9" t="s">
        <v>1490</v>
      </c>
      <c r="D11" s="5" t="s">
        <v>2023</v>
      </c>
      <c r="E11" s="154" t="s">
        <v>2024</v>
      </c>
    </row>
    <row r="12">
      <c r="A12" s="222"/>
      <c r="B12" s="9">
        <v>202.0</v>
      </c>
      <c r="C12" s="9" t="s">
        <v>2025</v>
      </c>
      <c r="D12" s="5" t="s">
        <v>2026</v>
      </c>
      <c r="E12" s="154" t="s">
        <v>2027</v>
      </c>
    </row>
    <row r="13">
      <c r="A13" s="222"/>
      <c r="B13" s="9">
        <v>203.0</v>
      </c>
      <c r="C13" s="9" t="s">
        <v>442</v>
      </c>
      <c r="D13" s="5" t="s">
        <v>2028</v>
      </c>
      <c r="E13" s="154" t="s">
        <v>2029</v>
      </c>
    </row>
    <row r="14">
      <c r="A14" s="222"/>
      <c r="B14" s="9">
        <v>204.0</v>
      </c>
      <c r="C14" s="9" t="s">
        <v>1501</v>
      </c>
      <c r="D14" s="5" t="s">
        <v>2030</v>
      </c>
      <c r="E14" s="154" t="s">
        <v>2031</v>
      </c>
    </row>
    <row r="15">
      <c r="A15" s="222"/>
      <c r="B15" s="9">
        <v>205.0</v>
      </c>
      <c r="C15" s="9" t="s">
        <v>2032</v>
      </c>
      <c r="D15" s="5" t="s">
        <v>2033</v>
      </c>
      <c r="E15" s="154" t="s">
        <v>2034</v>
      </c>
    </row>
    <row r="16">
      <c r="B16" s="9">
        <v>206.0</v>
      </c>
      <c r="C16" s="9" t="s">
        <v>2035</v>
      </c>
      <c r="D16" s="5" t="s">
        <v>2036</v>
      </c>
      <c r="E16" s="154" t="s">
        <v>2037</v>
      </c>
    </row>
    <row r="17">
      <c r="A17" s="9" t="s">
        <v>2038</v>
      </c>
      <c r="B17" s="9">
        <v>301.0</v>
      </c>
      <c r="C17" s="9" t="s">
        <v>2039</v>
      </c>
      <c r="D17" s="5" t="s">
        <v>2040</v>
      </c>
      <c r="E17" s="154" t="s">
        <v>2041</v>
      </c>
    </row>
    <row r="18">
      <c r="A18" s="222"/>
      <c r="B18" s="9">
        <v>302.0</v>
      </c>
      <c r="C18" s="9" t="s">
        <v>2042</v>
      </c>
      <c r="D18" s="5" t="s">
        <v>2043</v>
      </c>
      <c r="E18" s="154" t="s">
        <v>2044</v>
      </c>
    </row>
    <row r="19">
      <c r="A19" s="9" t="s">
        <v>2045</v>
      </c>
      <c r="B19" s="9">
        <v>401.0</v>
      </c>
      <c r="C19" s="9" t="s">
        <v>2046</v>
      </c>
      <c r="D19" s="5" t="s">
        <v>2047</v>
      </c>
      <c r="E19" s="154" t="s">
        <v>2048</v>
      </c>
    </row>
    <row r="20">
      <c r="A20" s="222"/>
      <c r="B20" s="9">
        <v>402.0</v>
      </c>
      <c r="C20" s="9" t="s">
        <v>2049</v>
      </c>
      <c r="D20" s="5" t="s">
        <v>2050</v>
      </c>
      <c r="E20" s="154" t="s">
        <v>2051</v>
      </c>
    </row>
    <row r="21">
      <c r="A21" s="222"/>
      <c r="B21" s="9">
        <v>403.0</v>
      </c>
      <c r="C21" s="9" t="s">
        <v>1983</v>
      </c>
      <c r="D21" s="5" t="s">
        <v>2052</v>
      </c>
      <c r="E21" s="154" t="s">
        <v>2053</v>
      </c>
    </row>
    <row r="22">
      <c r="A22" s="5"/>
      <c r="B22" s="9">
        <v>500.0</v>
      </c>
      <c r="C22" s="9" t="s">
        <v>2054</v>
      </c>
    </row>
    <row r="23">
      <c r="A23" s="5"/>
      <c r="B23" s="9"/>
    </row>
    <row r="24">
      <c r="B24" s="5"/>
      <c r="C24" s="9"/>
      <c r="D24" s="157" t="s">
        <v>9</v>
      </c>
      <c r="E24" s="158"/>
      <c r="F24" s="158"/>
      <c r="G24" s="159"/>
      <c r="H24" s="157" t="s">
        <v>10</v>
      </c>
      <c r="I24" s="159"/>
      <c r="J24" s="160"/>
    </row>
    <row r="25">
      <c r="B25" s="5"/>
      <c r="C25" s="9"/>
      <c r="D25" s="161" t="s">
        <v>56</v>
      </c>
      <c r="E25" s="162" t="s">
        <v>296</v>
      </c>
      <c r="F25" s="162" t="s">
        <v>180</v>
      </c>
      <c r="G25" s="163" t="s">
        <v>278</v>
      </c>
      <c r="H25" s="161" t="s">
        <v>149</v>
      </c>
      <c r="I25" s="163" t="s">
        <v>60</v>
      </c>
      <c r="J25" s="164" t="s">
        <v>1630</v>
      </c>
    </row>
    <row r="26">
      <c r="B26" s="223" t="s">
        <v>2055</v>
      </c>
      <c r="C26" s="224" t="s">
        <v>2005</v>
      </c>
      <c r="D26" s="225">
        <v>10.0</v>
      </c>
      <c r="E26" s="226">
        <v>19.0</v>
      </c>
      <c r="F26" s="226">
        <v>4.0</v>
      </c>
      <c r="G26" s="227">
        <v>11.0</v>
      </c>
      <c r="H26" s="225">
        <v>31.0</v>
      </c>
      <c r="I26" s="227">
        <v>13.0</v>
      </c>
      <c r="J26" s="228">
        <v>44.0</v>
      </c>
    </row>
    <row r="27">
      <c r="B27" s="60"/>
      <c r="C27" s="229" t="s">
        <v>2017</v>
      </c>
      <c r="D27" s="177">
        <v>0.0</v>
      </c>
      <c r="E27" s="176">
        <v>0.0</v>
      </c>
      <c r="F27" s="176">
        <v>0.0</v>
      </c>
      <c r="G27" s="178">
        <v>1.0</v>
      </c>
      <c r="H27" s="177">
        <v>0.0</v>
      </c>
      <c r="I27" s="178">
        <v>1.0</v>
      </c>
      <c r="J27" s="179">
        <v>1.0</v>
      </c>
    </row>
    <row r="28">
      <c r="B28" s="60"/>
      <c r="C28" s="9" t="s">
        <v>2014</v>
      </c>
      <c r="D28" s="101">
        <v>2.0</v>
      </c>
      <c r="E28" s="1">
        <v>0.0</v>
      </c>
      <c r="F28" s="1">
        <v>0.0</v>
      </c>
      <c r="G28" s="102">
        <v>1.0</v>
      </c>
      <c r="H28" s="101">
        <v>0.0</v>
      </c>
      <c r="I28" s="102">
        <v>3.0</v>
      </c>
      <c r="J28" s="104">
        <v>3.0</v>
      </c>
    </row>
    <row r="29">
      <c r="B29" s="60"/>
      <c r="C29" s="229" t="s">
        <v>2003</v>
      </c>
      <c r="D29" s="177">
        <v>0.0</v>
      </c>
      <c r="E29" s="176">
        <v>2.0</v>
      </c>
      <c r="F29" s="176">
        <v>0.0</v>
      </c>
      <c r="G29" s="178">
        <v>0.0</v>
      </c>
      <c r="H29" s="177">
        <v>2.0</v>
      </c>
      <c r="I29" s="178">
        <v>0.0</v>
      </c>
      <c r="J29" s="179">
        <v>2.0</v>
      </c>
    </row>
    <row r="30">
      <c r="B30" s="60"/>
      <c r="C30" s="9" t="s">
        <v>2008</v>
      </c>
      <c r="D30" s="101">
        <v>0.0</v>
      </c>
      <c r="E30" s="1">
        <v>2.0</v>
      </c>
      <c r="F30" s="1">
        <v>1.0</v>
      </c>
      <c r="G30" s="102">
        <v>1.0</v>
      </c>
      <c r="H30" s="101">
        <v>3.0</v>
      </c>
      <c r="I30" s="102">
        <v>1.0</v>
      </c>
      <c r="J30" s="104">
        <v>4.0</v>
      </c>
    </row>
    <row r="31">
      <c r="B31" s="60"/>
      <c r="C31" s="229" t="s">
        <v>2011</v>
      </c>
      <c r="D31" s="177">
        <v>2.0</v>
      </c>
      <c r="E31" s="176">
        <v>2.0</v>
      </c>
      <c r="F31" s="176">
        <v>0.0</v>
      </c>
      <c r="G31" s="178">
        <v>0.0</v>
      </c>
      <c r="H31" s="177">
        <v>2.0</v>
      </c>
      <c r="I31" s="178">
        <v>2.0</v>
      </c>
      <c r="J31" s="179">
        <v>4.0</v>
      </c>
    </row>
    <row r="32">
      <c r="B32" s="52"/>
      <c r="C32" s="230" t="s">
        <v>1674</v>
      </c>
      <c r="D32" s="231">
        <f t="shared" ref="D32:J32" si="1">SUM(D26:D31)</f>
        <v>14</v>
      </c>
      <c r="E32" s="232">
        <f t="shared" si="1"/>
        <v>25</v>
      </c>
      <c r="F32" s="232">
        <f t="shared" si="1"/>
        <v>5</v>
      </c>
      <c r="G32" s="233">
        <f t="shared" si="1"/>
        <v>14</v>
      </c>
      <c r="H32" s="231">
        <f t="shared" si="1"/>
        <v>38</v>
      </c>
      <c r="I32" s="233">
        <f t="shared" si="1"/>
        <v>20</v>
      </c>
      <c r="J32" s="234">
        <f t="shared" si="1"/>
        <v>58</v>
      </c>
    </row>
    <row r="33">
      <c r="B33" s="235" t="s">
        <v>60</v>
      </c>
      <c r="C33" s="229" t="s">
        <v>1490</v>
      </c>
      <c r="D33" s="177">
        <v>6.0</v>
      </c>
      <c r="E33" s="176">
        <v>1.0</v>
      </c>
      <c r="F33" s="176">
        <v>4.0</v>
      </c>
      <c r="G33" s="178">
        <v>2.0</v>
      </c>
      <c r="H33" s="177">
        <v>1.0</v>
      </c>
      <c r="I33" s="178">
        <v>12.0</v>
      </c>
      <c r="J33" s="179">
        <v>13.0</v>
      </c>
    </row>
    <row r="34">
      <c r="B34" s="60"/>
      <c r="C34" s="9" t="s">
        <v>442</v>
      </c>
      <c r="D34" s="101">
        <v>5.0</v>
      </c>
      <c r="E34" s="1">
        <v>2.0</v>
      </c>
      <c r="F34" s="1">
        <v>3.0</v>
      </c>
      <c r="G34" s="102">
        <v>2.0</v>
      </c>
      <c r="H34" s="101">
        <v>3.0</v>
      </c>
      <c r="I34" s="102">
        <v>9.0</v>
      </c>
      <c r="J34" s="104">
        <v>12.0</v>
      </c>
    </row>
    <row r="35">
      <c r="B35" s="60"/>
      <c r="C35" s="229" t="s">
        <v>2025</v>
      </c>
      <c r="D35" s="177">
        <v>1.0</v>
      </c>
      <c r="E35" s="176">
        <v>3.0</v>
      </c>
      <c r="F35" s="176">
        <v>2.0</v>
      </c>
      <c r="G35" s="178">
        <v>2.0</v>
      </c>
      <c r="H35" s="177">
        <v>3.0</v>
      </c>
      <c r="I35" s="178">
        <v>5.0</v>
      </c>
      <c r="J35" s="179">
        <v>8.0</v>
      </c>
    </row>
    <row r="36">
      <c r="B36" s="60"/>
      <c r="C36" s="9" t="s">
        <v>1501</v>
      </c>
      <c r="D36" s="101">
        <v>2.0</v>
      </c>
      <c r="E36" s="1">
        <v>0.0</v>
      </c>
      <c r="F36" s="1">
        <v>1.0</v>
      </c>
      <c r="G36" s="102">
        <v>1.0</v>
      </c>
      <c r="H36" s="101">
        <v>0.0</v>
      </c>
      <c r="I36" s="102">
        <v>4.0</v>
      </c>
      <c r="J36" s="104">
        <v>4.0</v>
      </c>
    </row>
    <row r="37">
      <c r="B37" s="60"/>
      <c r="C37" s="229" t="s">
        <v>2032</v>
      </c>
      <c r="D37" s="177">
        <v>0.0</v>
      </c>
      <c r="E37" s="176">
        <v>0.0</v>
      </c>
      <c r="F37" s="176">
        <v>0.0</v>
      </c>
      <c r="G37" s="178">
        <v>1.0</v>
      </c>
      <c r="H37" s="177">
        <v>0.0</v>
      </c>
      <c r="I37" s="178">
        <v>1.0</v>
      </c>
      <c r="J37" s="179">
        <v>1.0</v>
      </c>
    </row>
    <row r="38">
      <c r="B38" s="60"/>
      <c r="C38" s="9" t="s">
        <v>2035</v>
      </c>
      <c r="D38" s="101">
        <v>2.0</v>
      </c>
      <c r="E38" s="1">
        <v>2.0</v>
      </c>
      <c r="F38" s="1">
        <v>3.0</v>
      </c>
      <c r="G38" s="102">
        <v>2.0</v>
      </c>
      <c r="H38" s="101">
        <v>2.0</v>
      </c>
      <c r="I38" s="102">
        <v>7.0</v>
      </c>
      <c r="J38" s="104">
        <v>9.0</v>
      </c>
    </row>
    <row r="39">
      <c r="B39" s="60"/>
      <c r="C39" s="229" t="s">
        <v>2021</v>
      </c>
      <c r="D39" s="177">
        <v>0.0</v>
      </c>
      <c r="E39" s="176">
        <v>0.0</v>
      </c>
      <c r="F39" s="176">
        <v>1.0</v>
      </c>
      <c r="G39" s="178">
        <v>0.0</v>
      </c>
      <c r="H39" s="177">
        <v>0.0</v>
      </c>
      <c r="I39" s="178">
        <v>1.0</v>
      </c>
      <c r="J39" s="179">
        <v>1.0</v>
      </c>
    </row>
    <row r="40">
      <c r="B40" s="52"/>
      <c r="C40" s="9" t="s">
        <v>1674</v>
      </c>
      <c r="D40" s="105">
        <f t="shared" ref="D40:J40" si="2">SUM(D33:D39)</f>
        <v>16</v>
      </c>
      <c r="E40" s="103">
        <f t="shared" si="2"/>
        <v>8</v>
      </c>
      <c r="F40" s="103">
        <f t="shared" si="2"/>
        <v>14</v>
      </c>
      <c r="G40" s="236">
        <f t="shared" si="2"/>
        <v>10</v>
      </c>
      <c r="H40" s="105">
        <f t="shared" si="2"/>
        <v>9</v>
      </c>
      <c r="I40" s="236">
        <f t="shared" si="2"/>
        <v>39</v>
      </c>
      <c r="J40" s="106">
        <f t="shared" si="2"/>
        <v>48</v>
      </c>
    </row>
    <row r="41">
      <c r="B41" s="237" t="s">
        <v>2056</v>
      </c>
      <c r="C41" s="238" t="s">
        <v>2039</v>
      </c>
      <c r="D41" s="209">
        <v>0.0</v>
      </c>
      <c r="E41" s="210">
        <v>1.0</v>
      </c>
      <c r="F41" s="210">
        <v>0.0</v>
      </c>
      <c r="G41" s="211">
        <v>1.0</v>
      </c>
      <c r="H41" s="209">
        <v>2.0</v>
      </c>
      <c r="I41" s="211">
        <v>0.0</v>
      </c>
      <c r="J41" s="239">
        <v>2.0</v>
      </c>
    </row>
    <row r="42">
      <c r="B42" s="240" t="s">
        <v>2057</v>
      </c>
      <c r="C42" s="224" t="s">
        <v>2058</v>
      </c>
      <c r="D42" s="200">
        <v>4.0</v>
      </c>
      <c r="E42" s="201">
        <v>2.0</v>
      </c>
      <c r="F42" s="201">
        <v>6.0</v>
      </c>
      <c r="G42" s="241">
        <v>8.0</v>
      </c>
      <c r="H42" s="200">
        <v>4.0</v>
      </c>
      <c r="I42" s="241">
        <v>16.0</v>
      </c>
      <c r="J42" s="100">
        <v>20.0</v>
      </c>
    </row>
    <row r="43">
      <c r="B43" s="60"/>
      <c r="C43" s="229" t="s">
        <v>2059</v>
      </c>
      <c r="D43" s="177">
        <v>0.0</v>
      </c>
      <c r="E43" s="176">
        <v>1.0</v>
      </c>
      <c r="F43" s="176">
        <v>0.0</v>
      </c>
      <c r="G43" s="178">
        <v>0.0</v>
      </c>
      <c r="H43" s="177">
        <v>1.0</v>
      </c>
      <c r="I43" s="178">
        <v>0.0</v>
      </c>
      <c r="J43" s="179">
        <v>1.0</v>
      </c>
    </row>
    <row r="44">
      <c r="B44" s="60"/>
      <c r="C44" s="9" t="s">
        <v>2049</v>
      </c>
      <c r="D44" s="101">
        <v>3.0</v>
      </c>
      <c r="E44" s="1">
        <v>0.0</v>
      </c>
      <c r="F44" s="1">
        <v>3.0</v>
      </c>
      <c r="G44" s="102">
        <v>2.0</v>
      </c>
      <c r="H44" s="101">
        <v>2.0</v>
      </c>
      <c r="I44" s="102">
        <v>6.0</v>
      </c>
      <c r="J44" s="104">
        <v>8.0</v>
      </c>
    </row>
    <row r="45">
      <c r="B45" s="60"/>
      <c r="C45" s="229" t="s">
        <v>210</v>
      </c>
      <c r="D45" s="177">
        <v>12.0</v>
      </c>
      <c r="E45" s="176">
        <v>11.0</v>
      </c>
      <c r="F45" s="176">
        <v>8.0</v>
      </c>
      <c r="G45" s="178">
        <v>7.0</v>
      </c>
      <c r="H45" s="177">
        <v>16.0</v>
      </c>
      <c r="I45" s="178">
        <v>22.0</v>
      </c>
      <c r="J45" s="179">
        <v>38.0</v>
      </c>
    </row>
    <row r="46">
      <c r="B46" s="52"/>
      <c r="C46" s="230" t="s">
        <v>1674</v>
      </c>
      <c r="D46" s="231">
        <f t="shared" ref="D46:J46" si="3">SUM(D42:D45)</f>
        <v>19</v>
      </c>
      <c r="E46" s="232">
        <f t="shared" si="3"/>
        <v>14</v>
      </c>
      <c r="F46" s="232">
        <f t="shared" si="3"/>
        <v>17</v>
      </c>
      <c r="G46" s="233">
        <f t="shared" si="3"/>
        <v>17</v>
      </c>
      <c r="H46" s="231">
        <f t="shared" si="3"/>
        <v>23</v>
      </c>
      <c r="I46" s="233">
        <f t="shared" si="3"/>
        <v>44</v>
      </c>
      <c r="J46" s="234">
        <f t="shared" si="3"/>
        <v>67</v>
      </c>
    </row>
    <row r="47">
      <c r="B47" s="5"/>
    </row>
    <row r="48">
      <c r="B48" s="5"/>
      <c r="C48" s="9"/>
      <c r="D48" s="1"/>
      <c r="H48" s="1"/>
    </row>
    <row r="49">
      <c r="B49" s="5"/>
      <c r="C49" s="9"/>
      <c r="D49" s="1"/>
      <c r="H49" s="1"/>
    </row>
    <row r="50">
      <c r="B50" s="5"/>
      <c r="C50" s="9"/>
      <c r="D50" s="1"/>
      <c r="H50" s="1"/>
    </row>
    <row r="51">
      <c r="B51" s="5"/>
      <c r="C51" s="9"/>
      <c r="D51" s="1" t="s">
        <v>9</v>
      </c>
      <c r="H51" s="1" t="s">
        <v>10</v>
      </c>
    </row>
    <row r="52">
      <c r="B52" s="5"/>
      <c r="C52" s="9"/>
      <c r="D52" s="1" t="s">
        <v>56</v>
      </c>
      <c r="E52" s="1" t="s">
        <v>296</v>
      </c>
      <c r="F52" s="1" t="s">
        <v>180</v>
      </c>
      <c r="G52" s="1" t="s">
        <v>278</v>
      </c>
      <c r="H52" s="1" t="s">
        <v>149</v>
      </c>
      <c r="I52" s="1" t="s">
        <v>60</v>
      </c>
      <c r="J52" s="1" t="s">
        <v>1630</v>
      </c>
    </row>
    <row r="53">
      <c r="B53" s="5"/>
      <c r="C53" s="9"/>
      <c r="D53" s="1" t="s">
        <v>1995</v>
      </c>
      <c r="E53" s="1" t="s">
        <v>1995</v>
      </c>
      <c r="F53" s="1" t="s">
        <v>1995</v>
      </c>
      <c r="G53" s="1" t="s">
        <v>1995</v>
      </c>
      <c r="H53" s="1" t="s">
        <v>1995</v>
      </c>
      <c r="I53" s="1" t="s">
        <v>1995</v>
      </c>
      <c r="J53" s="1" t="s">
        <v>1995</v>
      </c>
    </row>
    <row r="54">
      <c r="B54" s="5" t="s">
        <v>2060</v>
      </c>
      <c r="C54" s="9" t="s">
        <v>2003</v>
      </c>
      <c r="D54" s="242">
        <v>0.0</v>
      </c>
      <c r="E54" s="242">
        <v>0.059</v>
      </c>
      <c r="F54" s="242">
        <v>0.0</v>
      </c>
      <c r="G54" s="242">
        <v>0.0</v>
      </c>
      <c r="H54" s="242">
        <v>0.036</v>
      </c>
      <c r="I54" s="242">
        <v>0.0</v>
      </c>
      <c r="J54" s="242">
        <v>0.015</v>
      </c>
    </row>
    <row r="55">
      <c r="B55" s="5"/>
      <c r="C55" s="9" t="s">
        <v>2005</v>
      </c>
      <c r="D55" s="242">
        <v>0.263</v>
      </c>
      <c r="E55" s="242">
        <v>0.559</v>
      </c>
      <c r="F55" s="242">
        <v>0.133</v>
      </c>
      <c r="G55" s="242">
        <v>0.333</v>
      </c>
      <c r="H55" s="242">
        <v>0.554</v>
      </c>
      <c r="I55" s="242">
        <v>0.165</v>
      </c>
      <c r="J55" s="242">
        <v>0.326</v>
      </c>
    </row>
    <row r="56">
      <c r="B56" s="5"/>
      <c r="C56" s="9" t="s">
        <v>2008</v>
      </c>
      <c r="D56" s="242">
        <v>0.0</v>
      </c>
      <c r="E56" s="242">
        <v>0.059</v>
      </c>
      <c r="F56" s="242">
        <v>0.033</v>
      </c>
      <c r="G56" s="242">
        <v>0.03</v>
      </c>
      <c r="H56" s="242">
        <v>0.054</v>
      </c>
      <c r="I56" s="242">
        <v>0.013</v>
      </c>
      <c r="J56" s="242">
        <v>0.03</v>
      </c>
    </row>
    <row r="57">
      <c r="B57" s="5"/>
      <c r="C57" s="9" t="s">
        <v>2011</v>
      </c>
      <c r="D57" s="242">
        <v>0.053</v>
      </c>
      <c r="E57" s="242">
        <v>0.059</v>
      </c>
      <c r="F57" s="242">
        <v>0.0</v>
      </c>
      <c r="G57" s="242">
        <v>0.0</v>
      </c>
      <c r="H57" s="242">
        <v>0.036</v>
      </c>
      <c r="I57" s="242">
        <v>0.025</v>
      </c>
      <c r="J57" s="242">
        <v>0.03</v>
      </c>
    </row>
    <row r="58">
      <c r="B58" s="5"/>
      <c r="C58" s="9" t="s">
        <v>2014</v>
      </c>
      <c r="D58" s="242">
        <v>0.053</v>
      </c>
      <c r="E58" s="242">
        <v>0.0</v>
      </c>
      <c r="F58" s="242">
        <v>0.0</v>
      </c>
      <c r="G58" s="242">
        <v>0.03</v>
      </c>
      <c r="H58" s="242">
        <v>0.0</v>
      </c>
      <c r="I58" s="242">
        <v>0.038</v>
      </c>
      <c r="J58" s="242">
        <v>0.022</v>
      </c>
    </row>
    <row r="59">
      <c r="B59" s="5"/>
      <c r="C59" s="9" t="s">
        <v>2017</v>
      </c>
      <c r="D59" s="242">
        <v>0.0</v>
      </c>
      <c r="E59" s="242">
        <v>0.0</v>
      </c>
      <c r="F59" s="242">
        <v>0.0</v>
      </c>
      <c r="G59" s="242">
        <v>0.03</v>
      </c>
      <c r="H59" s="242">
        <v>0.0</v>
      </c>
      <c r="I59" s="242">
        <v>0.013</v>
      </c>
      <c r="J59" s="242">
        <v>0.007</v>
      </c>
    </row>
    <row r="60">
      <c r="B60" s="5"/>
      <c r="C60" s="9" t="s">
        <v>2021</v>
      </c>
      <c r="D60" s="242">
        <v>0.0</v>
      </c>
      <c r="E60" s="242">
        <v>0.0</v>
      </c>
      <c r="F60" s="242">
        <v>0.033</v>
      </c>
      <c r="G60" s="242">
        <v>0.0</v>
      </c>
      <c r="H60" s="242">
        <v>0.0</v>
      </c>
      <c r="I60" s="242">
        <v>0.013</v>
      </c>
      <c r="J60" s="242">
        <v>0.007</v>
      </c>
    </row>
    <row r="61">
      <c r="B61" s="5"/>
      <c r="C61" s="9" t="s">
        <v>1490</v>
      </c>
      <c r="D61" s="242">
        <v>0.158</v>
      </c>
      <c r="E61" s="242">
        <v>0.029</v>
      </c>
      <c r="F61" s="242">
        <v>0.133</v>
      </c>
      <c r="G61" s="242">
        <v>0.061</v>
      </c>
      <c r="H61" s="242">
        <v>0.018</v>
      </c>
      <c r="I61" s="242">
        <v>0.152</v>
      </c>
      <c r="J61" s="242">
        <v>0.096</v>
      </c>
    </row>
    <row r="62">
      <c r="B62" s="5"/>
      <c r="C62" s="9" t="s">
        <v>2025</v>
      </c>
      <c r="D62" s="242">
        <v>0.026</v>
      </c>
      <c r="E62" s="242">
        <v>0.088</v>
      </c>
      <c r="F62" s="242">
        <v>0.067</v>
      </c>
      <c r="G62" s="242">
        <v>0.061</v>
      </c>
      <c r="H62" s="242">
        <v>0.054</v>
      </c>
      <c r="I62" s="242">
        <v>0.063</v>
      </c>
      <c r="J62" s="242">
        <v>0.059</v>
      </c>
    </row>
    <row r="63">
      <c r="B63" s="5"/>
      <c r="C63" s="9" t="s">
        <v>442</v>
      </c>
      <c r="D63" s="242">
        <v>0.132</v>
      </c>
      <c r="E63" s="242">
        <v>0.059</v>
      </c>
      <c r="F63" s="242">
        <v>0.1</v>
      </c>
      <c r="G63" s="242">
        <v>0.061</v>
      </c>
      <c r="H63" s="242">
        <v>0.054</v>
      </c>
      <c r="I63" s="242">
        <v>0.114</v>
      </c>
      <c r="J63" s="242">
        <v>0.089</v>
      </c>
    </row>
    <row r="64">
      <c r="B64" s="5"/>
      <c r="C64" s="9" t="s">
        <v>1501</v>
      </c>
      <c r="D64" s="242">
        <v>0.053</v>
      </c>
      <c r="E64" s="242">
        <v>0.0</v>
      </c>
      <c r="F64" s="242">
        <v>0.033</v>
      </c>
      <c r="G64" s="242">
        <v>0.03</v>
      </c>
      <c r="H64" s="242">
        <v>0.0</v>
      </c>
      <c r="I64" s="242">
        <v>0.051</v>
      </c>
      <c r="J64" s="242">
        <v>0.03</v>
      </c>
    </row>
    <row r="65">
      <c r="B65" s="5"/>
      <c r="C65" s="9" t="s">
        <v>2032</v>
      </c>
      <c r="D65" s="242">
        <v>0.0</v>
      </c>
      <c r="E65" s="242">
        <v>0.0</v>
      </c>
      <c r="F65" s="242">
        <v>0.0</v>
      </c>
      <c r="G65" s="242">
        <v>0.03</v>
      </c>
      <c r="H65" s="242">
        <v>0.0</v>
      </c>
      <c r="I65" s="242">
        <v>0.013</v>
      </c>
      <c r="J65" s="242">
        <v>0.007</v>
      </c>
    </row>
    <row r="66">
      <c r="B66" s="5"/>
      <c r="C66" s="9" t="s">
        <v>2035</v>
      </c>
      <c r="D66" s="242">
        <v>0.053</v>
      </c>
      <c r="E66" s="242">
        <v>0.059</v>
      </c>
      <c r="F66" s="242">
        <v>0.1</v>
      </c>
      <c r="G66" s="242">
        <v>0.061</v>
      </c>
      <c r="H66" s="242">
        <v>0.036</v>
      </c>
      <c r="I66" s="242">
        <v>0.089</v>
      </c>
      <c r="J66" s="242">
        <v>0.067</v>
      </c>
    </row>
    <row r="67">
      <c r="B67" s="5"/>
      <c r="C67" s="9" t="s">
        <v>2039</v>
      </c>
      <c r="D67" s="242">
        <v>0.0</v>
      </c>
      <c r="E67" s="242">
        <v>0.029</v>
      </c>
      <c r="F67" s="242">
        <v>0.0</v>
      </c>
      <c r="G67" s="242">
        <v>0.03</v>
      </c>
      <c r="H67" s="242">
        <v>0.036</v>
      </c>
      <c r="I67" s="242">
        <v>0.0</v>
      </c>
      <c r="J67" s="242">
        <v>0.015</v>
      </c>
    </row>
    <row r="68">
      <c r="B68" s="5"/>
      <c r="C68" s="9" t="s">
        <v>2061</v>
      </c>
      <c r="D68" s="242">
        <v>0.0</v>
      </c>
      <c r="E68" s="242">
        <v>0.0</v>
      </c>
      <c r="F68" s="242">
        <v>0.0</v>
      </c>
      <c r="G68" s="242">
        <v>0.0</v>
      </c>
      <c r="H68" s="242">
        <v>0.0</v>
      </c>
      <c r="I68" s="242">
        <v>0.0</v>
      </c>
      <c r="J68" s="242">
        <v>0.0</v>
      </c>
    </row>
    <row r="69">
      <c r="B69" s="5"/>
      <c r="C69" s="9" t="s">
        <v>2058</v>
      </c>
      <c r="D69" s="242">
        <v>0.105</v>
      </c>
      <c r="E69" s="242">
        <v>0.059</v>
      </c>
      <c r="F69" s="242">
        <v>0.2</v>
      </c>
      <c r="G69" s="242">
        <v>0.242</v>
      </c>
      <c r="H69" s="242">
        <v>0.071</v>
      </c>
      <c r="I69" s="242">
        <v>0.203</v>
      </c>
      <c r="J69" s="242">
        <v>0.148</v>
      </c>
    </row>
    <row r="70">
      <c r="B70" s="5"/>
      <c r="C70" s="9" t="s">
        <v>2049</v>
      </c>
      <c r="D70" s="242">
        <v>0.079</v>
      </c>
      <c r="E70" s="242">
        <v>0.0</v>
      </c>
      <c r="F70" s="242">
        <v>0.1</v>
      </c>
      <c r="G70" s="242">
        <v>0.061</v>
      </c>
      <c r="H70" s="242">
        <v>0.036</v>
      </c>
      <c r="I70" s="242">
        <v>0.076</v>
      </c>
      <c r="J70" s="242">
        <v>0.059</v>
      </c>
    </row>
    <row r="71">
      <c r="B71" s="5"/>
      <c r="C71" s="9" t="s">
        <v>1997</v>
      </c>
      <c r="D71" s="242">
        <v>0.316</v>
      </c>
      <c r="E71" s="242">
        <v>0.324</v>
      </c>
      <c r="F71" s="242">
        <v>0.267</v>
      </c>
      <c r="G71" s="242">
        <v>0.212</v>
      </c>
      <c r="H71" s="242">
        <v>0.286</v>
      </c>
      <c r="I71" s="242">
        <v>0.278</v>
      </c>
      <c r="J71" s="242">
        <v>0.281</v>
      </c>
    </row>
    <row r="72">
      <c r="B72" s="5"/>
      <c r="C72" s="9" t="s">
        <v>2059</v>
      </c>
      <c r="D72" s="242">
        <v>0.0</v>
      </c>
      <c r="E72" s="242">
        <v>0.029</v>
      </c>
      <c r="F72" s="242">
        <v>0.0</v>
      </c>
      <c r="G72" s="242">
        <v>0.0</v>
      </c>
      <c r="H72" s="242">
        <v>0.018</v>
      </c>
      <c r="I72" s="242">
        <v>0.0</v>
      </c>
      <c r="J72" s="242">
        <v>0.007</v>
      </c>
    </row>
    <row r="73">
      <c r="B73" s="5"/>
      <c r="C73" s="9"/>
    </row>
    <row r="74">
      <c r="B74" s="243"/>
      <c r="C74" s="244" t="s">
        <v>9</v>
      </c>
      <c r="G74" s="244" t="s">
        <v>10</v>
      </c>
      <c r="I74" s="245"/>
    </row>
    <row r="75">
      <c r="B75" s="243"/>
      <c r="C75" s="244" t="s">
        <v>56</v>
      </c>
      <c r="D75" s="244" t="s">
        <v>296</v>
      </c>
      <c r="E75" s="244" t="s">
        <v>180</v>
      </c>
      <c r="F75" s="244" t="s">
        <v>278</v>
      </c>
      <c r="G75" s="244" t="s">
        <v>149</v>
      </c>
      <c r="H75" s="244" t="s">
        <v>60</v>
      </c>
      <c r="I75" s="244" t="s">
        <v>1630</v>
      </c>
    </row>
    <row r="76">
      <c r="B76" s="246" t="s">
        <v>2062</v>
      </c>
      <c r="C76" s="247">
        <v>14.0</v>
      </c>
      <c r="D76" s="247">
        <v>25.0</v>
      </c>
      <c r="E76" s="247">
        <v>5.0</v>
      </c>
      <c r="F76" s="247">
        <v>14.0</v>
      </c>
      <c r="G76" s="247">
        <v>38.0</v>
      </c>
      <c r="H76" s="247">
        <v>20.0</v>
      </c>
      <c r="I76" s="247">
        <v>58.0</v>
      </c>
    </row>
    <row r="77">
      <c r="A77" s="5"/>
      <c r="B77" s="246" t="s">
        <v>2063</v>
      </c>
      <c r="C77" s="247">
        <v>16.0</v>
      </c>
      <c r="D77" s="247">
        <v>8.0</v>
      </c>
      <c r="E77" s="247">
        <v>14.0</v>
      </c>
      <c r="F77" s="247">
        <v>10.0</v>
      </c>
      <c r="G77" s="247">
        <v>9.0</v>
      </c>
      <c r="H77" s="247">
        <v>39.0</v>
      </c>
      <c r="I77" s="247">
        <v>48.0</v>
      </c>
    </row>
    <row r="78">
      <c r="A78" s="5"/>
      <c r="B78" s="246" t="s">
        <v>2064</v>
      </c>
      <c r="C78" s="247">
        <v>19.0</v>
      </c>
      <c r="D78" s="247">
        <v>14.0</v>
      </c>
      <c r="E78" s="247">
        <v>17.0</v>
      </c>
      <c r="F78" s="247">
        <v>17.0</v>
      </c>
      <c r="G78" s="247">
        <v>23.0</v>
      </c>
      <c r="H78" s="247">
        <v>44.0</v>
      </c>
      <c r="I78" s="247">
        <v>67.0</v>
      </c>
    </row>
    <row r="79">
      <c r="A79" s="5"/>
    </row>
    <row r="80">
      <c r="A80" s="5"/>
      <c r="B80" s="9"/>
    </row>
    <row r="81">
      <c r="A81" s="5"/>
      <c r="B81" s="9"/>
    </row>
    <row r="82">
      <c r="A82" s="5"/>
      <c r="B82" s="9"/>
    </row>
    <row r="83">
      <c r="A83" s="5"/>
      <c r="B83" s="9"/>
    </row>
    <row r="84">
      <c r="A84" s="5"/>
      <c r="B84" s="9"/>
    </row>
    <row r="85">
      <c r="A85" s="5"/>
      <c r="B85" s="9"/>
    </row>
    <row r="86">
      <c r="A86" s="5"/>
      <c r="B86" s="9"/>
    </row>
    <row r="87">
      <c r="A87" s="5"/>
      <c r="B87" s="9"/>
    </row>
    <row r="88">
      <c r="A88" s="5"/>
      <c r="B88" s="9"/>
    </row>
    <row r="89">
      <c r="A89" s="5"/>
      <c r="B89" s="9"/>
    </row>
    <row r="90">
      <c r="A90" s="5"/>
      <c r="B90" s="9"/>
    </row>
    <row r="91">
      <c r="A91" s="5"/>
      <c r="B91" s="9"/>
    </row>
    <row r="92">
      <c r="A92" s="5"/>
      <c r="B92" s="9"/>
    </row>
    <row r="93">
      <c r="A93" s="5"/>
      <c r="B93" s="9"/>
    </row>
    <row r="94">
      <c r="A94" s="5"/>
      <c r="B94" s="9"/>
    </row>
    <row r="95">
      <c r="A95" s="5"/>
      <c r="B95" s="9"/>
    </row>
    <row r="96">
      <c r="A96" s="5"/>
      <c r="B96" s="9"/>
    </row>
    <row r="97">
      <c r="A97" s="5"/>
      <c r="B97" s="9"/>
    </row>
    <row r="98">
      <c r="A98" s="5"/>
      <c r="B98" s="9"/>
    </row>
    <row r="99">
      <c r="A99" s="5"/>
      <c r="B99" s="9"/>
    </row>
    <row r="100">
      <c r="A100" s="5"/>
      <c r="B100" s="9"/>
    </row>
    <row r="101">
      <c r="B101" s="5"/>
      <c r="C101" s="9"/>
      <c r="D101" s="157" t="s">
        <v>9</v>
      </c>
      <c r="E101" s="158"/>
      <c r="F101" s="158"/>
      <c r="G101" s="159"/>
      <c r="H101" s="157" t="s">
        <v>10</v>
      </c>
      <c r="I101" s="159"/>
      <c r="J101" s="160"/>
    </row>
    <row r="102">
      <c r="B102" s="5"/>
      <c r="C102" s="9"/>
      <c r="D102" s="161" t="s">
        <v>56</v>
      </c>
      <c r="E102" s="162" t="s">
        <v>296</v>
      </c>
      <c r="F102" s="162" t="s">
        <v>180</v>
      </c>
      <c r="G102" s="163" t="s">
        <v>278</v>
      </c>
      <c r="H102" s="161" t="s">
        <v>149</v>
      </c>
      <c r="I102" s="163" t="s">
        <v>60</v>
      </c>
      <c r="J102" s="164" t="s">
        <v>1630</v>
      </c>
    </row>
    <row r="103">
      <c r="B103" s="237" t="s">
        <v>2056</v>
      </c>
      <c r="C103" s="238" t="s">
        <v>2039</v>
      </c>
      <c r="D103" s="209">
        <v>0.0</v>
      </c>
      <c r="E103" s="210">
        <v>1.0</v>
      </c>
      <c r="F103" s="210">
        <v>0.0</v>
      </c>
      <c r="G103" s="211">
        <v>1.0</v>
      </c>
      <c r="H103" s="209">
        <v>2.0</v>
      </c>
      <c r="I103" s="211">
        <v>0.0</v>
      </c>
      <c r="J103" s="239">
        <v>2.0</v>
      </c>
    </row>
    <row r="104">
      <c r="B104" s="240" t="s">
        <v>2057</v>
      </c>
      <c r="C104" s="224" t="s">
        <v>2058</v>
      </c>
      <c r="D104" s="200">
        <v>4.0</v>
      </c>
      <c r="E104" s="201">
        <v>2.0</v>
      </c>
      <c r="F104" s="201">
        <v>6.0</v>
      </c>
      <c r="G104" s="241">
        <v>8.0</v>
      </c>
      <c r="H104" s="200">
        <v>4.0</v>
      </c>
      <c r="I104" s="241">
        <v>16.0</v>
      </c>
      <c r="J104" s="100">
        <v>20.0</v>
      </c>
    </row>
    <row r="105">
      <c r="B105" s="60"/>
      <c r="C105" s="229" t="s">
        <v>2059</v>
      </c>
      <c r="D105" s="177">
        <v>0.0</v>
      </c>
      <c r="E105" s="176">
        <v>1.0</v>
      </c>
      <c r="F105" s="176">
        <v>0.0</v>
      </c>
      <c r="G105" s="178">
        <v>0.0</v>
      </c>
      <c r="H105" s="177">
        <v>1.0</v>
      </c>
      <c r="I105" s="178">
        <v>0.0</v>
      </c>
      <c r="J105" s="179">
        <v>1.0</v>
      </c>
    </row>
    <row r="106">
      <c r="B106" s="60"/>
      <c r="C106" s="9" t="s">
        <v>2049</v>
      </c>
      <c r="D106" s="101">
        <v>3.0</v>
      </c>
      <c r="E106" s="1">
        <v>0.0</v>
      </c>
      <c r="F106" s="1">
        <v>3.0</v>
      </c>
      <c r="G106" s="102">
        <v>2.0</v>
      </c>
      <c r="H106" s="101">
        <v>2.0</v>
      </c>
      <c r="I106" s="102">
        <v>6.0</v>
      </c>
      <c r="J106" s="104">
        <v>8.0</v>
      </c>
    </row>
    <row r="107">
      <c r="B107" s="60"/>
      <c r="C107" s="229" t="s">
        <v>210</v>
      </c>
      <c r="D107" s="177">
        <v>12.0</v>
      </c>
      <c r="E107" s="176">
        <v>11.0</v>
      </c>
      <c r="F107" s="176">
        <v>8.0</v>
      </c>
      <c r="G107" s="178">
        <v>7.0</v>
      </c>
      <c r="H107" s="177">
        <v>16.0</v>
      </c>
      <c r="I107" s="178">
        <v>22.0</v>
      </c>
      <c r="J107" s="179">
        <v>38.0</v>
      </c>
    </row>
    <row r="108">
      <c r="B108" s="52"/>
      <c r="C108" s="230" t="s">
        <v>1674</v>
      </c>
      <c r="D108" s="231">
        <f t="shared" ref="D108:J108" si="4">SUM(D104:D107)</f>
        <v>19</v>
      </c>
      <c r="E108" s="232">
        <f t="shared" si="4"/>
        <v>14</v>
      </c>
      <c r="F108" s="232">
        <f t="shared" si="4"/>
        <v>17</v>
      </c>
      <c r="G108" s="233">
        <f t="shared" si="4"/>
        <v>17</v>
      </c>
      <c r="H108" s="231">
        <f t="shared" si="4"/>
        <v>23</v>
      </c>
      <c r="I108" s="233">
        <f t="shared" si="4"/>
        <v>44</v>
      </c>
      <c r="J108" s="234">
        <f t="shared" si="4"/>
        <v>67</v>
      </c>
    </row>
    <row r="109">
      <c r="A109" s="5"/>
      <c r="B109" s="9"/>
    </row>
    <row r="110">
      <c r="A110" s="5"/>
      <c r="B110" s="9"/>
    </row>
    <row r="111">
      <c r="A111" s="5"/>
      <c r="B111" s="9"/>
    </row>
    <row r="112">
      <c r="A112" s="5"/>
      <c r="B112" s="9"/>
    </row>
    <row r="113">
      <c r="A113" s="5"/>
      <c r="B113" s="9"/>
    </row>
    <row r="114">
      <c r="A114" s="5"/>
      <c r="B114" s="9"/>
    </row>
    <row r="115">
      <c r="A115" s="5"/>
      <c r="B115" s="9"/>
    </row>
    <row r="116">
      <c r="A116" s="5"/>
      <c r="B116" s="9"/>
    </row>
    <row r="117">
      <c r="A117" s="5"/>
      <c r="B117" s="9"/>
    </row>
    <row r="118">
      <c r="A118" s="5"/>
      <c r="B118" s="9"/>
    </row>
    <row r="119">
      <c r="A119" s="5"/>
      <c r="B119" s="9"/>
    </row>
    <row r="120">
      <c r="A120" s="5"/>
      <c r="B120" s="9"/>
    </row>
    <row r="121">
      <c r="A121" s="5"/>
      <c r="B121" s="9"/>
    </row>
    <row r="122">
      <c r="A122" s="5"/>
      <c r="B122" s="9"/>
    </row>
    <row r="123">
      <c r="A123" s="5"/>
      <c r="B123" s="9"/>
    </row>
    <row r="124">
      <c r="A124" s="5"/>
      <c r="B124" s="9"/>
    </row>
    <row r="125">
      <c r="A125" s="5"/>
      <c r="B125" s="9"/>
    </row>
    <row r="126">
      <c r="A126" s="5"/>
      <c r="B126" s="9"/>
    </row>
    <row r="127">
      <c r="A127" s="5"/>
      <c r="B127" s="9"/>
    </row>
    <row r="128">
      <c r="A128" s="5"/>
      <c r="B128" s="9"/>
    </row>
    <row r="129">
      <c r="A129" s="5"/>
      <c r="B129" s="9"/>
    </row>
    <row r="130">
      <c r="A130" s="5"/>
      <c r="B130" s="9"/>
    </row>
    <row r="131">
      <c r="A131" s="5"/>
      <c r="B131" s="9"/>
    </row>
    <row r="132">
      <c r="A132" s="5"/>
      <c r="B132" s="9"/>
    </row>
    <row r="133">
      <c r="A133" s="5"/>
      <c r="B133" s="9"/>
    </row>
    <row r="134">
      <c r="A134" s="5"/>
      <c r="B134" s="9"/>
    </row>
    <row r="135">
      <c r="A135" s="5"/>
      <c r="B135" s="9"/>
    </row>
    <row r="136">
      <c r="A136" s="5"/>
      <c r="B136" s="9"/>
    </row>
    <row r="137">
      <c r="A137" s="5"/>
      <c r="B137" s="9"/>
    </row>
    <row r="138">
      <c r="A138" s="5"/>
      <c r="B138" s="9"/>
    </row>
    <row r="139">
      <c r="A139" s="5"/>
      <c r="B139" s="9"/>
    </row>
    <row r="140">
      <c r="A140" s="5"/>
      <c r="B140" s="9"/>
    </row>
    <row r="141">
      <c r="A141" s="5"/>
      <c r="B141" s="9"/>
    </row>
    <row r="142">
      <c r="A142" s="5"/>
      <c r="B142" s="9"/>
    </row>
    <row r="143">
      <c r="A143" s="5"/>
      <c r="B143" s="9"/>
    </row>
    <row r="144">
      <c r="A144" s="5"/>
      <c r="B144" s="9"/>
    </row>
  </sheetData>
  <mergeCells count="10">
    <mergeCell ref="D101:G101"/>
    <mergeCell ref="H101:I101"/>
    <mergeCell ref="B104:B108"/>
    <mergeCell ref="D24:G24"/>
    <mergeCell ref="H24:I24"/>
    <mergeCell ref="B26:B32"/>
    <mergeCell ref="B33:B40"/>
    <mergeCell ref="B42:B46"/>
    <mergeCell ref="C74:F74"/>
    <mergeCell ref="G74:H7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03" t="s">
        <v>2065</v>
      </c>
    </row>
    <row r="3">
      <c r="C3" s="157" t="s">
        <v>9</v>
      </c>
      <c r="D3" s="158"/>
      <c r="E3" s="158"/>
      <c r="F3" s="159"/>
      <c r="G3" s="157" t="s">
        <v>10</v>
      </c>
      <c r="H3" s="159"/>
      <c r="I3" s="248"/>
    </row>
    <row r="4">
      <c r="C4" s="161" t="s">
        <v>56</v>
      </c>
      <c r="D4" s="162" t="s">
        <v>296</v>
      </c>
      <c r="E4" s="162" t="s">
        <v>180</v>
      </c>
      <c r="F4" s="163" t="s">
        <v>278</v>
      </c>
      <c r="G4" s="161" t="s">
        <v>149</v>
      </c>
      <c r="H4" s="163" t="s">
        <v>60</v>
      </c>
      <c r="I4" s="164" t="s">
        <v>1630</v>
      </c>
    </row>
    <row r="5">
      <c r="B5" s="100" t="s">
        <v>123</v>
      </c>
      <c r="C5" s="101">
        <v>25.0</v>
      </c>
      <c r="D5" s="1">
        <v>17.0</v>
      </c>
      <c r="E5" s="1">
        <v>27.0</v>
      </c>
      <c r="F5" s="102">
        <v>16.0</v>
      </c>
      <c r="G5" s="101">
        <v>25.0</v>
      </c>
      <c r="H5" s="102">
        <v>60.0</v>
      </c>
      <c r="I5" s="104">
        <v>85.0</v>
      </c>
    </row>
    <row r="6">
      <c r="B6" s="104" t="s">
        <v>74</v>
      </c>
      <c r="C6" s="101">
        <v>8.0</v>
      </c>
      <c r="D6" s="1">
        <v>7.0</v>
      </c>
      <c r="E6" s="1">
        <v>1.0</v>
      </c>
      <c r="F6" s="102">
        <v>12.0</v>
      </c>
      <c r="G6" s="101">
        <v>17.0</v>
      </c>
      <c r="H6" s="102">
        <v>11.0</v>
      </c>
      <c r="I6" s="104">
        <v>28.0</v>
      </c>
    </row>
    <row r="7">
      <c r="B7" s="104" t="s">
        <v>139</v>
      </c>
      <c r="C7" s="101">
        <v>2.0</v>
      </c>
      <c r="D7" s="1">
        <v>4.0</v>
      </c>
      <c r="E7" s="1">
        <v>1.0</v>
      </c>
      <c r="F7" s="102">
        <v>2.0</v>
      </c>
      <c r="G7" s="101">
        <v>7.0</v>
      </c>
      <c r="H7" s="102">
        <v>2.0</v>
      </c>
      <c r="I7" s="104">
        <v>9.0</v>
      </c>
    </row>
    <row r="8">
      <c r="B8" s="104" t="s">
        <v>102</v>
      </c>
      <c r="C8" s="101">
        <v>3.0</v>
      </c>
      <c r="D8" s="1">
        <v>6.0</v>
      </c>
      <c r="E8" s="1">
        <v>1.0</v>
      </c>
      <c r="F8" s="102">
        <v>3.0</v>
      </c>
      <c r="G8" s="101">
        <v>7.0</v>
      </c>
      <c r="H8" s="102">
        <v>6.0</v>
      </c>
      <c r="I8" s="104">
        <v>13.0</v>
      </c>
    </row>
    <row r="9">
      <c r="B9" s="107" t="s">
        <v>1630</v>
      </c>
      <c r="C9" s="108">
        <v>38.0</v>
      </c>
      <c r="D9" s="109">
        <v>34.0</v>
      </c>
      <c r="E9" s="109">
        <v>30.0</v>
      </c>
      <c r="F9" s="110">
        <v>33.0</v>
      </c>
      <c r="G9" s="108">
        <v>56.0</v>
      </c>
      <c r="H9" s="110">
        <v>79.0</v>
      </c>
      <c r="I9" s="107">
        <v>135.0</v>
      </c>
    </row>
    <row r="11">
      <c r="C11" s="1" t="s">
        <v>9</v>
      </c>
      <c r="G11" s="1" t="s">
        <v>10</v>
      </c>
    </row>
    <row r="12">
      <c r="C12" s="1" t="s">
        <v>56</v>
      </c>
      <c r="D12" s="1" t="s">
        <v>296</v>
      </c>
      <c r="E12" s="1" t="s">
        <v>180</v>
      </c>
      <c r="F12" s="1" t="s">
        <v>278</v>
      </c>
      <c r="G12" s="1" t="s">
        <v>149</v>
      </c>
      <c r="H12" s="1" t="s">
        <v>60</v>
      </c>
      <c r="I12" s="1" t="s">
        <v>1630</v>
      </c>
    </row>
    <row r="13">
      <c r="B13" s="1" t="s">
        <v>123</v>
      </c>
      <c r="C13" s="242">
        <v>0.658</v>
      </c>
      <c r="D13" s="242">
        <v>0.5</v>
      </c>
      <c r="E13" s="242">
        <v>0.9</v>
      </c>
      <c r="F13" s="242">
        <v>0.485</v>
      </c>
      <c r="G13" s="242">
        <v>0.446</v>
      </c>
      <c r="H13" s="242">
        <v>0.759</v>
      </c>
      <c r="I13" s="242">
        <v>0.63</v>
      </c>
    </row>
    <row r="14">
      <c r="B14" s="1" t="s">
        <v>74</v>
      </c>
      <c r="C14" s="242">
        <v>0.211</v>
      </c>
      <c r="D14" s="242">
        <v>0.206</v>
      </c>
      <c r="E14" s="242">
        <v>0.033</v>
      </c>
      <c r="F14" s="242">
        <v>0.364</v>
      </c>
      <c r="G14" s="242">
        <v>0.304</v>
      </c>
      <c r="H14" s="242">
        <v>0.139</v>
      </c>
      <c r="I14" s="242">
        <v>0.207</v>
      </c>
    </row>
    <row r="15">
      <c r="B15" s="1" t="s">
        <v>139</v>
      </c>
      <c r="C15" s="242">
        <v>0.053</v>
      </c>
      <c r="D15" s="242">
        <v>0.118</v>
      </c>
      <c r="E15" s="242">
        <v>0.033</v>
      </c>
      <c r="F15" s="242">
        <v>0.061</v>
      </c>
      <c r="G15" s="242">
        <v>0.125</v>
      </c>
      <c r="H15" s="242">
        <v>0.025</v>
      </c>
      <c r="I15" s="242">
        <v>0.067</v>
      </c>
    </row>
    <row r="16">
      <c r="B16" s="1" t="s">
        <v>102</v>
      </c>
      <c r="C16" s="242">
        <v>0.079</v>
      </c>
      <c r="D16" s="242">
        <v>0.176</v>
      </c>
      <c r="E16" s="242">
        <v>0.033</v>
      </c>
      <c r="F16" s="242">
        <v>0.091</v>
      </c>
      <c r="G16" s="242">
        <v>0.125</v>
      </c>
      <c r="H16" s="242">
        <v>0.076</v>
      </c>
      <c r="I16" s="242">
        <v>0.096</v>
      </c>
    </row>
    <row r="17">
      <c r="B17" s="1" t="s">
        <v>1630</v>
      </c>
      <c r="C17" s="242">
        <v>1.0</v>
      </c>
      <c r="D17" s="242">
        <v>1.0</v>
      </c>
      <c r="E17" s="242">
        <v>1.0</v>
      </c>
      <c r="F17" s="242">
        <v>1.0</v>
      </c>
      <c r="G17" s="242">
        <v>1.0</v>
      </c>
      <c r="H17" s="242">
        <v>1.0</v>
      </c>
      <c r="I17" s="242">
        <v>1.0</v>
      </c>
    </row>
  </sheetData>
  <mergeCells count="2">
    <mergeCell ref="C3:F3"/>
    <mergeCell ref="G3:H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57"/>
    <col customWidth="1" min="3" max="3" width="41.57"/>
    <col customWidth="1" min="4" max="4" width="13.57"/>
  </cols>
  <sheetData>
    <row r="1">
      <c r="A1" s="5" t="s">
        <v>1748</v>
      </c>
      <c r="B1" s="5" t="s">
        <v>1749</v>
      </c>
      <c r="C1" s="5" t="s">
        <v>1924</v>
      </c>
      <c r="D1" s="5" t="s">
        <v>1925</v>
      </c>
      <c r="E1" s="5" t="s">
        <v>1926</v>
      </c>
    </row>
    <row r="2">
      <c r="A2" s="9" t="s">
        <v>2066</v>
      </c>
      <c r="B2" s="9">
        <v>101.0</v>
      </c>
      <c r="C2" s="9" t="s">
        <v>2067</v>
      </c>
      <c r="D2" s="5" t="s">
        <v>2068</v>
      </c>
      <c r="E2" s="154" t="s">
        <v>2069</v>
      </c>
    </row>
    <row r="3">
      <c r="A3" s="222"/>
      <c r="B3" s="9">
        <v>102.0</v>
      </c>
      <c r="C3" s="9" t="s">
        <v>2070</v>
      </c>
      <c r="D3" s="5" t="s">
        <v>2071</v>
      </c>
      <c r="E3" s="154" t="s">
        <v>2072</v>
      </c>
    </row>
    <row r="4">
      <c r="A4" s="9" t="s">
        <v>2073</v>
      </c>
      <c r="B4" s="9">
        <v>201.0</v>
      </c>
      <c r="C4" s="9" t="s">
        <v>2074</v>
      </c>
      <c r="D4" s="5" t="s">
        <v>2075</v>
      </c>
      <c r="E4" s="154" t="s">
        <v>2076</v>
      </c>
    </row>
    <row r="5">
      <c r="A5" s="222"/>
      <c r="B5" s="9">
        <v>202.0</v>
      </c>
      <c r="C5" s="9" t="s">
        <v>2077</v>
      </c>
      <c r="D5" s="5" t="s">
        <v>2078</v>
      </c>
      <c r="E5" s="154" t="s">
        <v>2079</v>
      </c>
    </row>
    <row r="6">
      <c r="A6" s="222"/>
      <c r="B6" s="9">
        <v>203.0</v>
      </c>
      <c r="C6" s="9" t="s">
        <v>2080</v>
      </c>
      <c r="D6" s="5" t="s">
        <v>2081</v>
      </c>
      <c r="E6" s="154" t="s">
        <v>2082</v>
      </c>
    </row>
    <row r="7">
      <c r="A7" s="222"/>
      <c r="B7" s="9">
        <v>204.0</v>
      </c>
      <c r="C7" s="9" t="s">
        <v>2083</v>
      </c>
      <c r="D7" s="5" t="s">
        <v>2084</v>
      </c>
      <c r="E7" s="154" t="s">
        <v>2085</v>
      </c>
    </row>
    <row r="8">
      <c r="A8" s="9" t="s">
        <v>2086</v>
      </c>
      <c r="B8" s="9">
        <v>301.0</v>
      </c>
      <c r="C8" s="9" t="s">
        <v>2087</v>
      </c>
      <c r="D8" s="5" t="s">
        <v>2088</v>
      </c>
      <c r="E8" s="154" t="s">
        <v>2089</v>
      </c>
    </row>
    <row r="9">
      <c r="A9" s="222"/>
      <c r="B9" s="9">
        <v>302.0</v>
      </c>
      <c r="C9" s="9" t="s">
        <v>2090</v>
      </c>
      <c r="D9" s="5" t="s">
        <v>2091</v>
      </c>
      <c r="E9" s="154" t="s">
        <v>2092</v>
      </c>
    </row>
    <row r="10">
      <c r="A10" s="222"/>
      <c r="B10" s="9">
        <v>303.0</v>
      </c>
      <c r="C10" s="9" t="s">
        <v>2093</v>
      </c>
      <c r="D10" s="5" t="s">
        <v>2094</v>
      </c>
      <c r="E10" s="154" t="s">
        <v>2095</v>
      </c>
    </row>
    <row r="11">
      <c r="A11" s="9" t="s">
        <v>2096</v>
      </c>
      <c r="B11" s="9">
        <v>401.0</v>
      </c>
      <c r="C11" s="9" t="s">
        <v>2097</v>
      </c>
      <c r="D11" s="5" t="s">
        <v>2098</v>
      </c>
      <c r="E11" s="154" t="s">
        <v>2099</v>
      </c>
    </row>
    <row r="12">
      <c r="A12" s="222"/>
      <c r="B12" s="9">
        <v>402.0</v>
      </c>
      <c r="C12" s="9" t="s">
        <v>2100</v>
      </c>
      <c r="D12" s="5" t="s">
        <v>2101</v>
      </c>
      <c r="E12" s="154" t="s">
        <v>2102</v>
      </c>
    </row>
    <row r="14">
      <c r="D14" s="157" t="s">
        <v>9</v>
      </c>
      <c r="E14" s="158"/>
      <c r="F14" s="158"/>
      <c r="G14" s="159"/>
      <c r="H14" s="157" t="s">
        <v>10</v>
      </c>
      <c r="I14" s="159"/>
      <c r="J14" s="248"/>
    </row>
    <row r="15">
      <c r="D15" s="161" t="s">
        <v>56</v>
      </c>
      <c r="E15" s="162" t="s">
        <v>296</v>
      </c>
      <c r="F15" s="162" t="s">
        <v>180</v>
      </c>
      <c r="G15" s="163" t="s">
        <v>278</v>
      </c>
      <c r="H15" s="161" t="s">
        <v>149</v>
      </c>
      <c r="I15" s="163" t="s">
        <v>60</v>
      </c>
      <c r="J15" s="164" t="s">
        <v>1630</v>
      </c>
    </row>
    <row r="16">
      <c r="B16" s="1" t="s">
        <v>2103</v>
      </c>
      <c r="C16" s="100" t="s">
        <v>2067</v>
      </c>
      <c r="D16" s="101">
        <v>7.0</v>
      </c>
      <c r="E16" s="1">
        <v>10.0</v>
      </c>
      <c r="F16" s="1">
        <v>6.0</v>
      </c>
      <c r="G16" s="236">
        <v>13.0</v>
      </c>
      <c r="H16" s="105">
        <v>18.0</v>
      </c>
      <c r="I16" s="236">
        <v>18.0</v>
      </c>
      <c r="J16" s="104">
        <v>36.0</v>
      </c>
    </row>
    <row r="17">
      <c r="C17" s="104" t="s">
        <v>2104</v>
      </c>
      <c r="D17" s="101">
        <v>6.0</v>
      </c>
      <c r="E17" s="1">
        <v>9.0</v>
      </c>
      <c r="F17" s="1">
        <v>9.0</v>
      </c>
      <c r="G17" s="102">
        <v>9.0</v>
      </c>
      <c r="H17" s="101">
        <v>14.0</v>
      </c>
      <c r="I17" s="236">
        <v>19.0</v>
      </c>
      <c r="J17" s="104">
        <v>33.0</v>
      </c>
    </row>
    <row r="18">
      <c r="C18" s="104" t="s">
        <v>2105</v>
      </c>
      <c r="D18" s="105">
        <v>11.0</v>
      </c>
      <c r="E18" s="1">
        <v>3.0</v>
      </c>
      <c r="F18" s="103">
        <v>12.0</v>
      </c>
      <c r="G18" s="102">
        <v>2.0</v>
      </c>
      <c r="H18" s="101">
        <v>6.0</v>
      </c>
      <c r="I18" s="236">
        <v>22.0</v>
      </c>
      <c r="J18" s="104">
        <v>28.0</v>
      </c>
    </row>
    <row r="19">
      <c r="C19" s="104" t="s">
        <v>2083</v>
      </c>
      <c r="D19" s="105">
        <v>8.0</v>
      </c>
      <c r="E19" s="1">
        <v>3.0</v>
      </c>
      <c r="F19" s="1">
        <v>5.0</v>
      </c>
      <c r="G19" s="102">
        <v>5.0</v>
      </c>
      <c r="H19" s="101">
        <v>3.0</v>
      </c>
      <c r="I19" s="236">
        <v>18.0</v>
      </c>
      <c r="J19" s="104">
        <v>21.0</v>
      </c>
    </row>
    <row r="20">
      <c r="C20" s="104" t="s">
        <v>2106</v>
      </c>
      <c r="D20" s="105">
        <v>6.0</v>
      </c>
      <c r="E20" s="1">
        <v>3.0</v>
      </c>
      <c r="F20" s="1">
        <v>3.0</v>
      </c>
      <c r="G20" s="102">
        <v>5.0</v>
      </c>
      <c r="H20" s="101">
        <v>8.0</v>
      </c>
      <c r="I20" s="102">
        <v>9.0</v>
      </c>
      <c r="J20" s="104">
        <v>17.0</v>
      </c>
    </row>
    <row r="21">
      <c r="C21" s="104" t="s">
        <v>2080</v>
      </c>
      <c r="D21" s="105">
        <v>8.0</v>
      </c>
      <c r="E21" s="1">
        <v>1.0</v>
      </c>
      <c r="F21" s="1">
        <v>4.0</v>
      </c>
      <c r="G21" s="102">
        <v>1.0</v>
      </c>
      <c r="H21" s="101">
        <v>1.0</v>
      </c>
      <c r="I21" s="102">
        <v>13.0</v>
      </c>
      <c r="J21" s="104">
        <v>14.0</v>
      </c>
    </row>
    <row r="22">
      <c r="C22" s="104" t="s">
        <v>2087</v>
      </c>
      <c r="D22" s="101">
        <v>0.0</v>
      </c>
      <c r="E22" s="103">
        <v>7.0</v>
      </c>
      <c r="F22" s="1">
        <v>1.0</v>
      </c>
      <c r="G22" s="102">
        <v>2.0</v>
      </c>
      <c r="H22" s="105">
        <v>9.0</v>
      </c>
      <c r="I22" s="102">
        <v>1.0</v>
      </c>
      <c r="J22" s="104">
        <v>10.0</v>
      </c>
    </row>
    <row r="23">
      <c r="C23" s="104" t="s">
        <v>2097</v>
      </c>
      <c r="D23" s="101">
        <v>1.0</v>
      </c>
      <c r="E23" s="1">
        <v>4.0</v>
      </c>
      <c r="F23" s="1">
        <v>2.0</v>
      </c>
      <c r="G23" s="102">
        <v>2.0</v>
      </c>
      <c r="H23" s="101">
        <v>4.0</v>
      </c>
      <c r="I23" s="102">
        <v>5.0</v>
      </c>
      <c r="J23" s="104">
        <v>9.0</v>
      </c>
    </row>
    <row r="24">
      <c r="C24" s="104" t="s">
        <v>2107</v>
      </c>
      <c r="D24" s="101">
        <v>0.0</v>
      </c>
      <c r="E24" s="1">
        <v>1.0</v>
      </c>
      <c r="F24" s="1">
        <v>1.0</v>
      </c>
      <c r="G24" s="102">
        <v>1.0</v>
      </c>
      <c r="H24" s="101">
        <v>1.0</v>
      </c>
      <c r="I24" s="102">
        <v>2.0</v>
      </c>
      <c r="J24" s="104">
        <v>3.0</v>
      </c>
    </row>
    <row r="25">
      <c r="C25" s="104" t="s">
        <v>2093</v>
      </c>
      <c r="D25" s="101">
        <v>1.0</v>
      </c>
      <c r="E25" s="1">
        <v>2.0</v>
      </c>
      <c r="F25" s="1">
        <v>0.0</v>
      </c>
      <c r="G25" s="102">
        <v>0.0</v>
      </c>
      <c r="H25" s="101">
        <v>3.0</v>
      </c>
      <c r="I25" s="102">
        <v>0.0</v>
      </c>
      <c r="J25" s="104">
        <v>3.0</v>
      </c>
    </row>
    <row r="26">
      <c r="C26" s="107" t="s">
        <v>2108</v>
      </c>
      <c r="D26" s="108">
        <v>2.0</v>
      </c>
      <c r="E26" s="109">
        <v>3.0</v>
      </c>
      <c r="F26" s="109">
        <v>0.0</v>
      </c>
      <c r="G26" s="233">
        <v>5.0</v>
      </c>
      <c r="H26" s="108">
        <v>4.0</v>
      </c>
      <c r="I26" s="110">
        <v>6.0</v>
      </c>
      <c r="J26" s="107">
        <v>10.0</v>
      </c>
    </row>
    <row r="30">
      <c r="D30" s="1" t="s">
        <v>9</v>
      </c>
      <c r="H30" s="1" t="s">
        <v>10</v>
      </c>
    </row>
    <row r="31">
      <c r="D31" s="1" t="s">
        <v>56</v>
      </c>
      <c r="E31" s="1" t="s">
        <v>296</v>
      </c>
      <c r="F31" s="1" t="s">
        <v>180</v>
      </c>
      <c r="G31" s="1" t="s">
        <v>278</v>
      </c>
      <c r="H31" s="1" t="s">
        <v>149</v>
      </c>
      <c r="I31" s="1" t="s">
        <v>60</v>
      </c>
      <c r="J31" s="1" t="s">
        <v>1630</v>
      </c>
    </row>
    <row r="32">
      <c r="D32" s="1" t="s">
        <v>1995</v>
      </c>
      <c r="E32" s="1" t="s">
        <v>1995</v>
      </c>
      <c r="F32" s="1" t="s">
        <v>1995</v>
      </c>
      <c r="G32" s="1" t="s">
        <v>1995</v>
      </c>
      <c r="H32" s="1" t="s">
        <v>1995</v>
      </c>
      <c r="I32" s="1" t="s">
        <v>1995</v>
      </c>
      <c r="J32" s="1" t="s">
        <v>1995</v>
      </c>
    </row>
    <row r="33">
      <c r="B33" s="1" t="s">
        <v>2103</v>
      </c>
      <c r="C33" s="1" t="s">
        <v>2067</v>
      </c>
      <c r="D33" s="111">
        <v>0.184</v>
      </c>
      <c r="E33" s="111">
        <v>0.294</v>
      </c>
      <c r="F33" s="111">
        <v>0.2</v>
      </c>
      <c r="G33" s="111">
        <v>0.394</v>
      </c>
      <c r="H33" s="111">
        <v>0.321</v>
      </c>
      <c r="I33" s="111">
        <v>0.228</v>
      </c>
      <c r="J33" s="111">
        <v>0.267</v>
      </c>
    </row>
    <row r="34">
      <c r="C34" s="1" t="s">
        <v>2106</v>
      </c>
      <c r="D34" s="111">
        <v>0.158</v>
      </c>
      <c r="E34" s="111">
        <v>0.088</v>
      </c>
      <c r="F34" s="111">
        <v>0.1</v>
      </c>
      <c r="G34" s="111">
        <v>0.152</v>
      </c>
      <c r="H34" s="111">
        <v>0.143</v>
      </c>
      <c r="I34" s="111">
        <v>0.114</v>
      </c>
      <c r="J34" s="111">
        <v>0.126</v>
      </c>
    </row>
    <row r="35">
      <c r="C35" s="1" t="s">
        <v>2104</v>
      </c>
      <c r="D35" s="111">
        <v>0.158</v>
      </c>
      <c r="E35" s="111">
        <v>0.265</v>
      </c>
      <c r="F35" s="111">
        <v>0.3</v>
      </c>
      <c r="G35" s="111">
        <v>0.273</v>
      </c>
      <c r="H35" s="111">
        <v>0.25</v>
      </c>
      <c r="I35" s="111">
        <v>0.241</v>
      </c>
      <c r="J35" s="111">
        <v>0.244</v>
      </c>
    </row>
    <row r="36">
      <c r="C36" s="1" t="s">
        <v>2105</v>
      </c>
      <c r="D36" s="111">
        <v>0.289</v>
      </c>
      <c r="E36" s="111">
        <v>0.088</v>
      </c>
      <c r="F36" s="111">
        <v>0.4</v>
      </c>
      <c r="G36" s="111">
        <v>0.061</v>
      </c>
      <c r="H36" s="111">
        <v>0.107</v>
      </c>
      <c r="I36" s="111">
        <v>0.278</v>
      </c>
      <c r="J36" s="111">
        <v>0.207</v>
      </c>
    </row>
    <row r="37">
      <c r="C37" s="1" t="s">
        <v>2080</v>
      </c>
      <c r="D37" s="111">
        <v>0.211</v>
      </c>
      <c r="E37" s="111">
        <v>0.029</v>
      </c>
      <c r="F37" s="111">
        <v>0.133</v>
      </c>
      <c r="G37" s="111">
        <v>0.03</v>
      </c>
      <c r="H37" s="111">
        <v>0.018</v>
      </c>
      <c r="I37" s="111">
        <v>0.165</v>
      </c>
      <c r="J37" s="111">
        <v>0.104</v>
      </c>
    </row>
    <row r="38">
      <c r="C38" s="1" t="s">
        <v>2083</v>
      </c>
      <c r="D38" s="111">
        <v>0.211</v>
      </c>
      <c r="E38" s="111">
        <v>0.088</v>
      </c>
      <c r="F38" s="111">
        <v>0.167</v>
      </c>
      <c r="G38" s="111">
        <v>0.152</v>
      </c>
      <c r="H38" s="111">
        <v>0.054</v>
      </c>
      <c r="I38" s="111">
        <v>0.228</v>
      </c>
      <c r="J38" s="111">
        <v>0.156</v>
      </c>
    </row>
    <row r="39">
      <c r="C39" s="1" t="s">
        <v>2087</v>
      </c>
      <c r="D39" s="111">
        <v>0.0</v>
      </c>
      <c r="E39" s="111">
        <v>0.206</v>
      </c>
      <c r="F39" s="111">
        <v>0.033</v>
      </c>
      <c r="G39" s="111">
        <v>0.061</v>
      </c>
      <c r="H39" s="111">
        <v>0.161</v>
      </c>
      <c r="I39" s="111">
        <v>0.013</v>
      </c>
      <c r="J39" s="111">
        <v>0.074</v>
      </c>
    </row>
    <row r="40">
      <c r="C40" s="1" t="s">
        <v>2107</v>
      </c>
      <c r="D40" s="111">
        <v>0.0</v>
      </c>
      <c r="E40" s="111">
        <v>0.029</v>
      </c>
      <c r="F40" s="111">
        <v>0.033</v>
      </c>
      <c r="G40" s="111">
        <v>0.03</v>
      </c>
      <c r="H40" s="111">
        <v>0.018</v>
      </c>
      <c r="I40" s="111">
        <v>0.025</v>
      </c>
      <c r="J40" s="111">
        <v>0.022</v>
      </c>
    </row>
    <row r="41">
      <c r="C41" s="1" t="s">
        <v>2093</v>
      </c>
      <c r="D41" s="111">
        <v>0.026</v>
      </c>
      <c r="E41" s="111">
        <v>0.059</v>
      </c>
      <c r="F41" s="111">
        <v>0.0</v>
      </c>
      <c r="G41" s="111">
        <v>0.0</v>
      </c>
      <c r="H41" s="111">
        <v>0.054</v>
      </c>
      <c r="I41" s="111">
        <v>0.0</v>
      </c>
      <c r="J41" s="111">
        <v>0.022</v>
      </c>
    </row>
    <row r="42">
      <c r="C42" s="1" t="s">
        <v>2097</v>
      </c>
      <c r="D42" s="111">
        <v>0.026</v>
      </c>
      <c r="E42" s="111">
        <v>0.118</v>
      </c>
      <c r="F42" s="111">
        <v>0.067</v>
      </c>
      <c r="G42" s="111">
        <v>0.061</v>
      </c>
      <c r="H42" s="111">
        <v>0.071</v>
      </c>
      <c r="I42" s="111">
        <v>0.063</v>
      </c>
      <c r="J42" s="111">
        <v>0.067</v>
      </c>
    </row>
    <row r="43">
      <c r="C43" s="1" t="s">
        <v>2108</v>
      </c>
      <c r="D43" s="111">
        <v>0.053</v>
      </c>
      <c r="E43" s="111">
        <v>0.088</v>
      </c>
      <c r="F43" s="111">
        <v>0.0</v>
      </c>
      <c r="G43" s="111">
        <v>0.152</v>
      </c>
      <c r="H43" s="111">
        <v>0.071</v>
      </c>
      <c r="I43" s="111">
        <v>0.076</v>
      </c>
      <c r="J43" s="111">
        <v>0.074</v>
      </c>
    </row>
    <row r="46">
      <c r="D46" s="157" t="s">
        <v>9</v>
      </c>
      <c r="E46" s="158"/>
      <c r="F46" s="158"/>
      <c r="G46" s="159"/>
      <c r="H46" s="157" t="s">
        <v>10</v>
      </c>
      <c r="I46" s="159"/>
      <c r="J46" s="248"/>
    </row>
    <row r="47">
      <c r="D47" s="161" t="s">
        <v>56</v>
      </c>
      <c r="E47" s="162" t="s">
        <v>296</v>
      </c>
      <c r="F47" s="162" t="s">
        <v>180</v>
      </c>
      <c r="G47" s="163" t="s">
        <v>278</v>
      </c>
      <c r="H47" s="161" t="s">
        <v>149</v>
      </c>
      <c r="I47" s="163" t="s">
        <v>60</v>
      </c>
      <c r="J47" s="164" t="s">
        <v>1630</v>
      </c>
    </row>
    <row r="48">
      <c r="A48" s="1">
        <v>101.0</v>
      </c>
      <c r="B48" s="9" t="s">
        <v>2066</v>
      </c>
      <c r="C48" s="100" t="s">
        <v>2067</v>
      </c>
      <c r="D48" s="101">
        <v>7.0</v>
      </c>
      <c r="E48" s="1">
        <v>10.0</v>
      </c>
      <c r="F48" s="1">
        <v>6.0</v>
      </c>
      <c r="G48" s="236">
        <v>13.0</v>
      </c>
      <c r="H48" s="105">
        <v>18.0</v>
      </c>
      <c r="I48" s="236">
        <v>18.0</v>
      </c>
      <c r="J48" s="104">
        <v>36.0</v>
      </c>
    </row>
    <row r="49">
      <c r="A49" s="1">
        <v>102.0</v>
      </c>
      <c r="B49" s="222"/>
      <c r="C49" s="104" t="s">
        <v>2106</v>
      </c>
      <c r="D49" s="105">
        <v>6.0</v>
      </c>
      <c r="E49" s="1">
        <v>3.0</v>
      </c>
      <c r="F49" s="1">
        <v>3.0</v>
      </c>
      <c r="G49" s="102">
        <v>5.0</v>
      </c>
      <c r="H49" s="101">
        <v>8.0</v>
      </c>
      <c r="I49" s="102">
        <v>9.0</v>
      </c>
      <c r="J49" s="104">
        <v>17.0</v>
      </c>
    </row>
    <row r="50">
      <c r="A50" s="1">
        <v>201.0</v>
      </c>
      <c r="B50" s="9" t="s">
        <v>2073</v>
      </c>
      <c r="C50" s="104" t="s">
        <v>2104</v>
      </c>
      <c r="D50" s="101">
        <v>6.0</v>
      </c>
      <c r="E50" s="1">
        <v>9.0</v>
      </c>
      <c r="F50" s="1">
        <v>9.0</v>
      </c>
      <c r="G50" s="102">
        <v>9.0</v>
      </c>
      <c r="H50" s="101">
        <v>14.0</v>
      </c>
      <c r="I50" s="236">
        <v>19.0</v>
      </c>
      <c r="J50" s="104">
        <v>33.0</v>
      </c>
    </row>
    <row r="51">
      <c r="A51" s="1">
        <v>202.0</v>
      </c>
      <c r="B51" s="222"/>
      <c r="C51" s="104" t="s">
        <v>2105</v>
      </c>
      <c r="D51" s="105">
        <v>11.0</v>
      </c>
      <c r="E51" s="1">
        <v>3.0</v>
      </c>
      <c r="F51" s="103">
        <v>12.0</v>
      </c>
      <c r="G51" s="102">
        <v>2.0</v>
      </c>
      <c r="H51" s="101">
        <v>6.0</v>
      </c>
      <c r="I51" s="236">
        <v>22.0</v>
      </c>
      <c r="J51" s="104">
        <v>28.0</v>
      </c>
    </row>
    <row r="52">
      <c r="A52" s="1">
        <v>203.0</v>
      </c>
      <c r="B52" s="222"/>
      <c r="C52" s="104" t="s">
        <v>2080</v>
      </c>
      <c r="D52" s="105">
        <v>8.0</v>
      </c>
      <c r="E52" s="1">
        <v>1.0</v>
      </c>
      <c r="F52" s="1">
        <v>4.0</v>
      </c>
      <c r="G52" s="102">
        <v>1.0</v>
      </c>
      <c r="H52" s="101">
        <v>1.0</v>
      </c>
      <c r="I52" s="102">
        <v>13.0</v>
      </c>
      <c r="J52" s="104">
        <v>14.0</v>
      </c>
    </row>
    <row r="53">
      <c r="A53" s="1">
        <v>204.0</v>
      </c>
      <c r="B53" s="222"/>
      <c r="C53" s="104" t="s">
        <v>2083</v>
      </c>
      <c r="D53" s="105">
        <v>8.0</v>
      </c>
      <c r="E53" s="1">
        <v>3.0</v>
      </c>
      <c r="F53" s="1">
        <v>5.0</v>
      </c>
      <c r="G53" s="102">
        <v>5.0</v>
      </c>
      <c r="H53" s="101">
        <v>3.0</v>
      </c>
      <c r="I53" s="236">
        <v>18.0</v>
      </c>
      <c r="J53" s="104">
        <v>21.0</v>
      </c>
    </row>
    <row r="54">
      <c r="A54" s="1">
        <v>301.0</v>
      </c>
      <c r="B54" s="9" t="s">
        <v>2086</v>
      </c>
      <c r="C54" s="104" t="s">
        <v>2087</v>
      </c>
      <c r="D54" s="101">
        <v>0.0</v>
      </c>
      <c r="E54" s="103">
        <v>7.0</v>
      </c>
      <c r="F54" s="1">
        <v>1.0</v>
      </c>
      <c r="G54" s="102">
        <v>2.0</v>
      </c>
      <c r="H54" s="105">
        <v>9.0</v>
      </c>
      <c r="I54" s="102">
        <v>1.0</v>
      </c>
      <c r="J54" s="104">
        <v>10.0</v>
      </c>
    </row>
    <row r="55">
      <c r="A55" s="1">
        <v>302.0</v>
      </c>
      <c r="B55" s="222"/>
      <c r="C55" s="104" t="s">
        <v>2107</v>
      </c>
      <c r="D55" s="101">
        <v>0.0</v>
      </c>
      <c r="E55" s="1">
        <v>1.0</v>
      </c>
      <c r="F55" s="1">
        <v>1.0</v>
      </c>
      <c r="G55" s="102">
        <v>1.0</v>
      </c>
      <c r="H55" s="101">
        <v>1.0</v>
      </c>
      <c r="I55" s="102">
        <v>2.0</v>
      </c>
      <c r="J55" s="104">
        <v>3.0</v>
      </c>
    </row>
    <row r="56">
      <c r="A56" s="1">
        <v>303.0</v>
      </c>
      <c r="B56" s="222"/>
      <c r="C56" s="104" t="s">
        <v>2093</v>
      </c>
      <c r="D56" s="101">
        <v>1.0</v>
      </c>
      <c r="E56" s="1">
        <v>2.0</v>
      </c>
      <c r="F56" s="1">
        <v>0.0</v>
      </c>
      <c r="G56" s="102">
        <v>0.0</v>
      </c>
      <c r="H56" s="101">
        <v>3.0</v>
      </c>
      <c r="I56" s="102">
        <v>0.0</v>
      </c>
      <c r="J56" s="104">
        <v>3.0</v>
      </c>
    </row>
    <row r="57">
      <c r="A57" s="1">
        <v>401.0</v>
      </c>
      <c r="B57" s="9" t="s">
        <v>2096</v>
      </c>
      <c r="C57" s="104" t="s">
        <v>2097</v>
      </c>
      <c r="D57" s="101">
        <v>1.0</v>
      </c>
      <c r="E57" s="1">
        <v>4.0</v>
      </c>
      <c r="F57" s="1">
        <v>2.0</v>
      </c>
      <c r="G57" s="102">
        <v>2.0</v>
      </c>
      <c r="H57" s="101">
        <v>4.0</v>
      </c>
      <c r="I57" s="102">
        <v>5.0</v>
      </c>
      <c r="J57" s="104">
        <v>9.0</v>
      </c>
    </row>
    <row r="58">
      <c r="A58" s="1">
        <v>402.0</v>
      </c>
      <c r="C58" s="107" t="s">
        <v>2108</v>
      </c>
      <c r="D58" s="108">
        <v>2.0</v>
      </c>
      <c r="E58" s="109">
        <v>3.0</v>
      </c>
      <c r="F58" s="109">
        <v>0.0</v>
      </c>
      <c r="G58" s="233">
        <v>5.0</v>
      </c>
      <c r="H58" s="108">
        <v>4.0</v>
      </c>
      <c r="I58" s="110">
        <v>6.0</v>
      </c>
      <c r="J58" s="107">
        <v>10.0</v>
      </c>
    </row>
  </sheetData>
  <mergeCells count="4">
    <mergeCell ref="D14:G14"/>
    <mergeCell ref="H14:I14"/>
    <mergeCell ref="D46:G46"/>
    <mergeCell ref="H46:I4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5.86"/>
    <col customWidth="1" min="4" max="5" width="21.57"/>
    <col customWidth="1" min="9" max="9" width="43.0"/>
    <col customWidth="1" min="10" max="10" width="114.43"/>
  </cols>
  <sheetData>
    <row r="1">
      <c r="I1" s="249" t="s">
        <v>2109</v>
      </c>
      <c r="J1" s="250"/>
    </row>
    <row r="2">
      <c r="I2" s="251" t="s">
        <v>2110</v>
      </c>
      <c r="J2" s="252" t="s">
        <v>2111</v>
      </c>
    </row>
    <row r="3">
      <c r="I3" s="251" t="s">
        <v>77</v>
      </c>
      <c r="J3" s="252" t="s">
        <v>2112</v>
      </c>
    </row>
    <row r="4">
      <c r="I4" s="251" t="s">
        <v>105</v>
      </c>
      <c r="J4" s="252" t="s">
        <v>2113</v>
      </c>
    </row>
    <row r="5">
      <c r="I5" s="251" t="s">
        <v>126</v>
      </c>
      <c r="J5" s="252" t="s">
        <v>2114</v>
      </c>
    </row>
    <row r="6">
      <c r="I6" s="251" t="s">
        <v>142</v>
      </c>
      <c r="J6" s="252" t="s">
        <v>2115</v>
      </c>
    </row>
    <row r="7">
      <c r="I7" s="251" t="s">
        <v>258</v>
      </c>
      <c r="J7" s="252" t="s">
        <v>2116</v>
      </c>
    </row>
    <row r="8">
      <c r="I8" s="251" t="s">
        <v>646</v>
      </c>
      <c r="J8" s="252" t="s">
        <v>2117</v>
      </c>
    </row>
    <row r="9">
      <c r="I9" s="253"/>
      <c r="J9" s="250"/>
    </row>
    <row r="10">
      <c r="I10" s="249" t="s">
        <v>2118</v>
      </c>
      <c r="J10" s="250"/>
    </row>
    <row r="11">
      <c r="I11" s="254" t="s">
        <v>2110</v>
      </c>
      <c r="J11" s="255" t="s">
        <v>2111</v>
      </c>
    </row>
    <row r="12">
      <c r="I12" s="254" t="s">
        <v>227</v>
      </c>
      <c r="J12" s="255" t="s">
        <v>2119</v>
      </c>
    </row>
    <row r="13">
      <c r="I13" s="254" t="s">
        <v>129</v>
      </c>
      <c r="J13" s="255" t="s">
        <v>2120</v>
      </c>
    </row>
    <row r="14">
      <c r="I14" s="254" t="s">
        <v>159</v>
      </c>
      <c r="J14" s="255" t="s">
        <v>2121</v>
      </c>
    </row>
    <row r="15">
      <c r="I15" s="254" t="s">
        <v>78</v>
      </c>
      <c r="J15" s="255" t="s">
        <v>2122</v>
      </c>
    </row>
    <row r="16">
      <c r="I16" s="254" t="s">
        <v>187</v>
      </c>
      <c r="J16" s="255" t="s">
        <v>2123</v>
      </c>
    </row>
    <row r="17">
      <c r="I17" s="254" t="s">
        <v>344</v>
      </c>
      <c r="J17" s="255" t="s">
        <v>2124</v>
      </c>
    </row>
    <row r="18">
      <c r="I18" s="254" t="s">
        <v>127</v>
      </c>
      <c r="J18" s="255" t="s">
        <v>2125</v>
      </c>
    </row>
    <row r="21">
      <c r="I21" s="256"/>
      <c r="J21" s="250"/>
    </row>
    <row r="22">
      <c r="B22" s="103" t="s">
        <v>2109</v>
      </c>
      <c r="I22" s="256"/>
      <c r="J22" s="250"/>
    </row>
    <row r="23">
      <c r="B23" s="257" t="s">
        <v>2126</v>
      </c>
      <c r="C23" s="258"/>
      <c r="D23" s="258"/>
      <c r="E23" s="258"/>
      <c r="F23" s="258"/>
      <c r="G23" s="258"/>
      <c r="I23" s="256"/>
      <c r="J23" s="250"/>
    </row>
    <row r="24">
      <c r="B24" s="259" t="s">
        <v>47</v>
      </c>
      <c r="C24" s="259" t="s">
        <v>56</v>
      </c>
      <c r="D24" s="259" t="s">
        <v>296</v>
      </c>
      <c r="E24" s="259" t="s">
        <v>180</v>
      </c>
      <c r="F24" s="259" t="s">
        <v>278</v>
      </c>
      <c r="G24" s="259" t="s">
        <v>1630</v>
      </c>
      <c r="I24" s="256"/>
      <c r="J24" s="250"/>
    </row>
    <row r="25">
      <c r="B25" s="260" t="s">
        <v>77</v>
      </c>
      <c r="C25" s="260">
        <v>9.0</v>
      </c>
      <c r="D25" s="260">
        <v>8.0</v>
      </c>
      <c r="E25" s="260">
        <v>5.0</v>
      </c>
      <c r="F25" s="260">
        <v>5.0</v>
      </c>
      <c r="G25" s="260">
        <v>27.0</v>
      </c>
      <c r="I25" s="256"/>
      <c r="J25" s="250"/>
    </row>
    <row r="26">
      <c r="B26" s="260" t="s">
        <v>105</v>
      </c>
      <c r="C26" s="260">
        <v>9.0</v>
      </c>
      <c r="D26" s="260">
        <v>10.0</v>
      </c>
      <c r="E26" s="260">
        <v>7.0</v>
      </c>
      <c r="F26" s="260">
        <v>8.0</v>
      </c>
      <c r="G26" s="260">
        <v>34.0</v>
      </c>
      <c r="I26" s="256"/>
      <c r="J26" s="250"/>
    </row>
    <row r="27">
      <c r="B27" s="260" t="s">
        <v>126</v>
      </c>
      <c r="C27" s="260">
        <v>3.0</v>
      </c>
      <c r="D27" s="260">
        <v>1.0</v>
      </c>
      <c r="E27" s="260">
        <v>2.0</v>
      </c>
      <c r="F27" s="260">
        <v>2.0</v>
      </c>
      <c r="G27" s="260">
        <v>8.0</v>
      </c>
      <c r="I27" s="256"/>
      <c r="J27" s="250"/>
    </row>
    <row r="28">
      <c r="B28" s="260" t="s">
        <v>142</v>
      </c>
      <c r="C28" s="260">
        <v>9.0</v>
      </c>
      <c r="D28" s="260">
        <v>5.0</v>
      </c>
      <c r="E28" s="260">
        <v>8.0</v>
      </c>
      <c r="F28" s="260">
        <v>4.0</v>
      </c>
      <c r="G28" s="260">
        <v>26.0</v>
      </c>
      <c r="I28" s="256"/>
      <c r="J28" s="250"/>
    </row>
    <row r="29">
      <c r="B29" s="260" t="s">
        <v>258</v>
      </c>
      <c r="C29" s="260">
        <v>4.0</v>
      </c>
      <c r="D29" s="260">
        <v>7.0</v>
      </c>
      <c r="E29" s="260">
        <v>7.0</v>
      </c>
      <c r="F29" s="260">
        <v>9.0</v>
      </c>
      <c r="G29" s="260">
        <v>27.0</v>
      </c>
      <c r="I29" s="256"/>
      <c r="J29" s="250"/>
    </row>
    <row r="30">
      <c r="B30" s="260" t="s">
        <v>646</v>
      </c>
      <c r="C30" s="260">
        <v>3.0</v>
      </c>
      <c r="D30" s="260">
        <v>3.0</v>
      </c>
      <c r="E30" s="260">
        <v>0.0</v>
      </c>
      <c r="F30" s="260">
        <v>5.0</v>
      </c>
      <c r="G30" s="260">
        <v>11.0</v>
      </c>
      <c r="I30" s="256"/>
      <c r="J30" s="250"/>
    </row>
    <row r="31">
      <c r="B31" s="261" t="s">
        <v>1630</v>
      </c>
      <c r="C31" s="261">
        <v>37.0</v>
      </c>
      <c r="D31" s="261">
        <v>34.0</v>
      </c>
      <c r="E31" s="261">
        <v>29.0</v>
      </c>
      <c r="F31" s="261">
        <v>33.0</v>
      </c>
      <c r="G31" s="261">
        <v>133.0</v>
      </c>
      <c r="I31" s="256"/>
      <c r="J31" s="250"/>
    </row>
    <row r="32">
      <c r="B32" s="258"/>
      <c r="C32" s="258"/>
      <c r="D32" s="258"/>
      <c r="E32" s="258"/>
      <c r="F32" s="258"/>
      <c r="G32" s="258"/>
      <c r="I32" s="256"/>
      <c r="J32" s="250"/>
    </row>
    <row r="33">
      <c r="B33" s="257" t="s">
        <v>2127</v>
      </c>
      <c r="C33" s="258"/>
      <c r="D33" s="258"/>
      <c r="E33" s="258"/>
      <c r="F33" s="258"/>
      <c r="G33" s="258"/>
      <c r="I33" s="256"/>
      <c r="J33" s="250"/>
    </row>
    <row r="34">
      <c r="B34" s="259" t="s">
        <v>47</v>
      </c>
      <c r="C34" s="259" t="s">
        <v>56</v>
      </c>
      <c r="D34" s="259" t="s">
        <v>296</v>
      </c>
      <c r="E34" s="259" t="s">
        <v>180</v>
      </c>
      <c r="F34" s="259" t="s">
        <v>278</v>
      </c>
      <c r="G34" s="259" t="s">
        <v>1630</v>
      </c>
      <c r="I34" s="256"/>
      <c r="J34" s="250"/>
    </row>
    <row r="35">
      <c r="B35" s="260" t="s">
        <v>77</v>
      </c>
      <c r="C35" s="262">
        <v>0.243</v>
      </c>
      <c r="D35" s="262">
        <v>0.235</v>
      </c>
      <c r="E35" s="262">
        <v>0.172</v>
      </c>
      <c r="F35" s="262">
        <v>0.152</v>
      </c>
      <c r="G35" s="262">
        <v>0.203</v>
      </c>
      <c r="I35" s="256"/>
      <c r="J35" s="250"/>
    </row>
    <row r="36">
      <c r="B36" s="260" t="s">
        <v>105</v>
      </c>
      <c r="C36" s="262">
        <v>0.243</v>
      </c>
      <c r="D36" s="262">
        <v>0.294</v>
      </c>
      <c r="E36" s="262">
        <v>0.241</v>
      </c>
      <c r="F36" s="262">
        <v>0.242</v>
      </c>
      <c r="G36" s="262">
        <v>0.256</v>
      </c>
      <c r="I36" s="256"/>
      <c r="J36" s="250"/>
    </row>
    <row r="37">
      <c r="B37" s="260" t="s">
        <v>126</v>
      </c>
      <c r="C37" s="262">
        <v>0.081</v>
      </c>
      <c r="D37" s="262">
        <v>0.029</v>
      </c>
      <c r="E37" s="262">
        <v>0.069</v>
      </c>
      <c r="F37" s="262">
        <v>0.061</v>
      </c>
      <c r="G37" s="262">
        <v>0.06</v>
      </c>
      <c r="I37" s="256"/>
      <c r="J37" s="250"/>
    </row>
    <row r="38">
      <c r="B38" s="260" t="s">
        <v>142</v>
      </c>
      <c r="C38" s="262">
        <v>0.243</v>
      </c>
      <c r="D38" s="262">
        <v>0.147</v>
      </c>
      <c r="E38" s="262">
        <v>0.276</v>
      </c>
      <c r="F38" s="262">
        <v>0.121</v>
      </c>
      <c r="G38" s="262">
        <v>0.195</v>
      </c>
      <c r="I38" s="256"/>
      <c r="J38" s="250"/>
    </row>
    <row r="39">
      <c r="B39" s="260" t="s">
        <v>258</v>
      </c>
      <c r="C39" s="262">
        <v>0.108</v>
      </c>
      <c r="D39" s="262">
        <v>0.206</v>
      </c>
      <c r="E39" s="262">
        <v>0.241</v>
      </c>
      <c r="F39" s="262">
        <v>0.273</v>
      </c>
      <c r="G39" s="262">
        <v>0.203</v>
      </c>
      <c r="I39" s="256"/>
      <c r="J39" s="250"/>
    </row>
    <row r="40">
      <c r="B40" s="260" t="s">
        <v>646</v>
      </c>
      <c r="C40" s="262">
        <v>0.081</v>
      </c>
      <c r="D40" s="262">
        <v>0.088</v>
      </c>
      <c r="E40" s="262">
        <v>0.0</v>
      </c>
      <c r="F40" s="262">
        <v>0.152</v>
      </c>
      <c r="G40" s="262">
        <v>0.083</v>
      </c>
      <c r="I40" s="256"/>
      <c r="J40" s="250"/>
    </row>
    <row r="41">
      <c r="B41" s="261" t="s">
        <v>1630</v>
      </c>
      <c r="C41" s="263">
        <v>1.0</v>
      </c>
      <c r="D41" s="263">
        <v>1.0</v>
      </c>
      <c r="E41" s="263">
        <v>1.0</v>
      </c>
      <c r="F41" s="263">
        <v>1.0</v>
      </c>
      <c r="G41" s="263">
        <v>1.0</v>
      </c>
      <c r="I41" s="256"/>
      <c r="J41" s="250"/>
    </row>
    <row r="42">
      <c r="B42" s="258"/>
      <c r="C42" s="258"/>
      <c r="D42" s="258"/>
      <c r="E42" s="258"/>
      <c r="F42" s="258"/>
      <c r="G42" s="258"/>
      <c r="I42" s="256"/>
      <c r="J42" s="250"/>
    </row>
    <row r="43">
      <c r="B43" s="257" t="s">
        <v>2128</v>
      </c>
      <c r="C43" s="258"/>
      <c r="D43" s="258"/>
      <c r="E43" s="258"/>
      <c r="F43" s="258"/>
      <c r="G43" s="258"/>
      <c r="I43" s="256"/>
      <c r="J43" s="250"/>
    </row>
    <row r="44">
      <c r="B44" s="259" t="s">
        <v>47</v>
      </c>
      <c r="C44" s="259" t="s">
        <v>149</v>
      </c>
      <c r="D44" s="259" t="s">
        <v>60</v>
      </c>
      <c r="E44" s="259" t="s">
        <v>1630</v>
      </c>
      <c r="F44" s="258"/>
      <c r="G44" s="258"/>
      <c r="I44" s="256"/>
      <c r="J44" s="250"/>
    </row>
    <row r="45">
      <c r="B45" s="260" t="s">
        <v>77</v>
      </c>
      <c r="C45" s="260">
        <v>10.0</v>
      </c>
      <c r="D45" s="260">
        <v>17.0</v>
      </c>
      <c r="E45" s="260">
        <v>27.0</v>
      </c>
      <c r="F45" s="258"/>
      <c r="G45" s="258"/>
      <c r="I45" s="256"/>
      <c r="J45" s="250"/>
    </row>
    <row r="46">
      <c r="B46" s="260" t="s">
        <v>105</v>
      </c>
      <c r="C46" s="260">
        <v>14.0</v>
      </c>
      <c r="D46" s="260">
        <v>20.0</v>
      </c>
      <c r="E46" s="260">
        <v>34.0</v>
      </c>
      <c r="F46" s="258"/>
      <c r="G46" s="258"/>
      <c r="I46" s="256"/>
      <c r="J46" s="250"/>
    </row>
    <row r="47">
      <c r="B47" s="260" t="s">
        <v>126</v>
      </c>
      <c r="C47" s="260">
        <v>2.0</v>
      </c>
      <c r="D47" s="260">
        <v>6.0</v>
      </c>
      <c r="E47" s="260">
        <v>8.0</v>
      </c>
      <c r="F47" s="258"/>
      <c r="G47" s="258"/>
      <c r="I47" s="256"/>
      <c r="J47" s="250"/>
    </row>
    <row r="48">
      <c r="B48" s="260" t="s">
        <v>142</v>
      </c>
      <c r="C48" s="260">
        <v>7.0</v>
      </c>
      <c r="D48" s="260">
        <v>19.0</v>
      </c>
      <c r="E48" s="260">
        <v>26.0</v>
      </c>
      <c r="F48" s="258"/>
      <c r="G48" s="258"/>
      <c r="I48" s="256"/>
      <c r="J48" s="250"/>
    </row>
    <row r="49">
      <c r="B49" s="260" t="s">
        <v>258</v>
      </c>
      <c r="C49" s="260">
        <v>17.0</v>
      </c>
      <c r="D49" s="260">
        <v>10.0</v>
      </c>
      <c r="E49" s="260">
        <v>27.0</v>
      </c>
      <c r="F49" s="258"/>
      <c r="G49" s="258"/>
      <c r="I49" s="256"/>
      <c r="J49" s="250"/>
    </row>
    <row r="50">
      <c r="B50" s="260" t="s">
        <v>646</v>
      </c>
      <c r="C50" s="260">
        <v>5.0</v>
      </c>
      <c r="D50" s="260">
        <v>6.0</v>
      </c>
      <c r="E50" s="260">
        <v>11.0</v>
      </c>
      <c r="F50" s="258"/>
      <c r="G50" s="258"/>
      <c r="I50" s="256"/>
      <c r="J50" s="250"/>
    </row>
    <row r="51">
      <c r="B51" s="261" t="s">
        <v>1630</v>
      </c>
      <c r="C51" s="261">
        <v>55.0</v>
      </c>
      <c r="D51" s="261">
        <v>78.0</v>
      </c>
      <c r="E51" s="261">
        <v>133.0</v>
      </c>
      <c r="F51" s="258"/>
      <c r="G51" s="258"/>
      <c r="I51" s="256"/>
      <c r="J51" s="250"/>
    </row>
    <row r="52">
      <c r="B52" s="258"/>
      <c r="C52" s="258"/>
      <c r="D52" s="258"/>
      <c r="E52" s="258"/>
      <c r="F52" s="258"/>
      <c r="G52" s="258"/>
      <c r="I52" s="256"/>
      <c r="J52" s="250"/>
    </row>
    <row r="53">
      <c r="B53" s="257" t="s">
        <v>2129</v>
      </c>
      <c r="C53" s="258"/>
      <c r="D53" s="258"/>
      <c r="E53" s="258"/>
      <c r="F53" s="258"/>
      <c r="G53" s="258"/>
      <c r="I53" s="256"/>
      <c r="J53" s="250"/>
    </row>
    <row r="54">
      <c r="B54" s="259" t="s">
        <v>47</v>
      </c>
      <c r="C54" s="259" t="s">
        <v>149</v>
      </c>
      <c r="D54" s="259" t="s">
        <v>60</v>
      </c>
      <c r="E54" s="259" t="s">
        <v>1630</v>
      </c>
      <c r="F54" s="258"/>
      <c r="G54" s="258"/>
      <c r="I54" s="256"/>
      <c r="J54" s="250"/>
    </row>
    <row r="55">
      <c r="B55" s="260" t="s">
        <v>77</v>
      </c>
      <c r="C55" s="262">
        <v>0.182</v>
      </c>
      <c r="D55" s="262">
        <v>0.218</v>
      </c>
      <c r="E55" s="262">
        <v>0.203</v>
      </c>
      <c r="F55" s="258"/>
      <c r="G55" s="258"/>
      <c r="I55" s="256"/>
      <c r="J55" s="250"/>
    </row>
    <row r="56">
      <c r="B56" s="260" t="s">
        <v>105</v>
      </c>
      <c r="C56" s="262">
        <v>0.255</v>
      </c>
      <c r="D56" s="262">
        <v>0.256</v>
      </c>
      <c r="E56" s="262">
        <v>0.256</v>
      </c>
      <c r="F56" s="258"/>
      <c r="G56" s="258"/>
      <c r="I56" s="256"/>
      <c r="J56" s="250"/>
    </row>
    <row r="57">
      <c r="B57" s="260" t="s">
        <v>126</v>
      </c>
      <c r="C57" s="262">
        <v>0.036</v>
      </c>
      <c r="D57" s="262">
        <v>0.077</v>
      </c>
      <c r="E57" s="262">
        <v>0.06</v>
      </c>
      <c r="F57" s="258"/>
      <c r="G57" s="258"/>
      <c r="I57" s="256"/>
      <c r="J57" s="250"/>
    </row>
    <row r="58">
      <c r="B58" s="260" t="s">
        <v>142</v>
      </c>
      <c r="C58" s="262">
        <v>0.127</v>
      </c>
      <c r="D58" s="262">
        <v>0.244</v>
      </c>
      <c r="E58" s="262">
        <v>0.195</v>
      </c>
      <c r="F58" s="258"/>
      <c r="G58" s="258"/>
      <c r="I58" s="256"/>
      <c r="J58" s="250"/>
    </row>
    <row r="59">
      <c r="B59" s="260" t="s">
        <v>258</v>
      </c>
      <c r="C59" s="262">
        <v>0.309</v>
      </c>
      <c r="D59" s="262">
        <v>0.128</v>
      </c>
      <c r="E59" s="262">
        <v>0.203</v>
      </c>
      <c r="F59" s="258"/>
      <c r="G59" s="258"/>
      <c r="I59" s="256"/>
      <c r="J59" s="250"/>
    </row>
    <row r="60">
      <c r="B60" s="260" t="s">
        <v>646</v>
      </c>
      <c r="C60" s="262">
        <v>0.091</v>
      </c>
      <c r="D60" s="262">
        <v>0.077</v>
      </c>
      <c r="E60" s="262">
        <v>0.083</v>
      </c>
      <c r="F60" s="258"/>
      <c r="G60" s="258"/>
      <c r="I60" s="256"/>
      <c r="J60" s="250"/>
    </row>
    <row r="61">
      <c r="B61" s="261" t="s">
        <v>1630</v>
      </c>
      <c r="C61" s="263">
        <v>1.0</v>
      </c>
      <c r="D61" s="263">
        <v>1.0</v>
      </c>
      <c r="E61" s="263">
        <v>1.0</v>
      </c>
      <c r="F61" s="258"/>
      <c r="G61" s="258"/>
      <c r="I61" s="256"/>
      <c r="J61" s="250"/>
    </row>
    <row r="62">
      <c r="I62" s="256"/>
      <c r="J62" s="250"/>
    </row>
    <row r="63">
      <c r="I63" s="256"/>
      <c r="J63" s="250"/>
    </row>
    <row r="64">
      <c r="I64" s="256"/>
      <c r="J64" s="250"/>
    </row>
    <row r="65">
      <c r="B65" s="103" t="s">
        <v>2118</v>
      </c>
      <c r="I65" s="256"/>
      <c r="J65" s="250"/>
    </row>
    <row r="66">
      <c r="B66" s="257" t="s">
        <v>2126</v>
      </c>
      <c r="C66" s="258"/>
      <c r="D66" s="258"/>
      <c r="E66" s="258"/>
      <c r="F66" s="258"/>
      <c r="G66" s="258"/>
      <c r="I66" s="256"/>
      <c r="J66" s="250"/>
    </row>
    <row r="67">
      <c r="B67" s="259" t="s">
        <v>48</v>
      </c>
      <c r="C67" s="259" t="s">
        <v>56</v>
      </c>
      <c r="D67" s="259" t="s">
        <v>296</v>
      </c>
      <c r="E67" s="259" t="s">
        <v>180</v>
      </c>
      <c r="F67" s="259" t="s">
        <v>278</v>
      </c>
      <c r="G67" s="259" t="s">
        <v>1630</v>
      </c>
      <c r="I67" s="256"/>
      <c r="J67" s="250"/>
    </row>
    <row r="68">
      <c r="B68" s="260" t="s">
        <v>227</v>
      </c>
      <c r="C68" s="260">
        <v>4.0</v>
      </c>
      <c r="D68" s="260">
        <v>3.0</v>
      </c>
      <c r="E68" s="260">
        <v>6.0</v>
      </c>
      <c r="F68" s="260">
        <v>1.0</v>
      </c>
      <c r="G68" s="260">
        <v>14.0</v>
      </c>
      <c r="I68" s="256"/>
      <c r="J68" s="250"/>
    </row>
    <row r="69">
      <c r="B69" s="260" t="s">
        <v>129</v>
      </c>
      <c r="C69" s="260">
        <v>4.0</v>
      </c>
      <c r="D69" s="260">
        <v>4.0</v>
      </c>
      <c r="E69" s="260">
        <v>8.0</v>
      </c>
      <c r="F69" s="260">
        <v>5.0</v>
      </c>
      <c r="G69" s="260">
        <v>21.0</v>
      </c>
      <c r="I69" s="256"/>
      <c r="J69" s="250"/>
    </row>
    <row r="70">
      <c r="B70" s="260" t="s">
        <v>159</v>
      </c>
      <c r="C70" s="260">
        <v>3.0</v>
      </c>
      <c r="D70" s="260">
        <v>1.0</v>
      </c>
      <c r="E70" s="260">
        <v>5.0</v>
      </c>
      <c r="F70" s="260">
        <v>3.0</v>
      </c>
      <c r="G70" s="260">
        <v>12.0</v>
      </c>
      <c r="I70" s="256"/>
      <c r="J70" s="250"/>
    </row>
    <row r="71">
      <c r="B71" s="260" t="s">
        <v>78</v>
      </c>
      <c r="C71" s="260">
        <v>8.0</v>
      </c>
      <c r="D71" s="260">
        <v>5.0</v>
      </c>
      <c r="E71" s="260">
        <v>0.0</v>
      </c>
      <c r="F71" s="260">
        <v>5.0</v>
      </c>
      <c r="G71" s="260">
        <v>18.0</v>
      </c>
      <c r="I71" s="256"/>
      <c r="J71" s="250"/>
    </row>
    <row r="72">
      <c r="B72" s="260" t="s">
        <v>187</v>
      </c>
      <c r="C72" s="260">
        <v>3.0</v>
      </c>
      <c r="D72" s="260">
        <v>4.0</v>
      </c>
      <c r="E72" s="260">
        <v>3.0</v>
      </c>
      <c r="F72" s="260">
        <v>1.0</v>
      </c>
      <c r="G72" s="260">
        <v>11.0</v>
      </c>
      <c r="I72" s="256"/>
      <c r="J72" s="250"/>
    </row>
    <row r="73">
      <c r="B73" s="260" t="s">
        <v>344</v>
      </c>
      <c r="C73" s="260">
        <v>0.0</v>
      </c>
      <c r="D73" s="260">
        <v>1.0</v>
      </c>
      <c r="E73" s="260">
        <v>0.0</v>
      </c>
      <c r="F73" s="260">
        <v>1.0</v>
      </c>
      <c r="G73" s="260">
        <v>2.0</v>
      </c>
      <c r="I73" s="256"/>
      <c r="J73" s="250"/>
    </row>
    <row r="74">
      <c r="B74" s="260" t="s">
        <v>127</v>
      </c>
      <c r="C74" s="260">
        <v>15.0</v>
      </c>
      <c r="D74" s="260">
        <v>16.0</v>
      </c>
      <c r="E74" s="260">
        <v>7.0</v>
      </c>
      <c r="F74" s="260">
        <v>17.0</v>
      </c>
      <c r="G74" s="260">
        <v>55.0</v>
      </c>
      <c r="I74" s="256"/>
      <c r="J74" s="250"/>
    </row>
    <row r="75">
      <c r="B75" s="261" t="s">
        <v>1630</v>
      </c>
      <c r="C75" s="261">
        <v>37.0</v>
      </c>
      <c r="D75" s="261">
        <v>34.0</v>
      </c>
      <c r="E75" s="261">
        <v>29.0</v>
      </c>
      <c r="F75" s="261">
        <v>33.0</v>
      </c>
      <c r="G75" s="261">
        <v>133.0</v>
      </c>
      <c r="I75" s="256"/>
      <c r="J75" s="250"/>
    </row>
    <row r="76">
      <c r="B76" s="258"/>
      <c r="C76" s="258"/>
      <c r="D76" s="258"/>
      <c r="E76" s="258"/>
      <c r="F76" s="258"/>
      <c r="G76" s="258"/>
      <c r="I76" s="256"/>
      <c r="J76" s="250"/>
    </row>
    <row r="77">
      <c r="B77" s="257" t="s">
        <v>2127</v>
      </c>
      <c r="C77" s="258"/>
      <c r="D77" s="258"/>
      <c r="E77" s="258"/>
      <c r="F77" s="258"/>
      <c r="G77" s="258"/>
      <c r="I77" s="256"/>
      <c r="J77" s="250"/>
    </row>
    <row r="78">
      <c r="B78" s="259" t="s">
        <v>48</v>
      </c>
      <c r="C78" s="259" t="s">
        <v>56</v>
      </c>
      <c r="D78" s="259" t="s">
        <v>296</v>
      </c>
      <c r="E78" s="259" t="s">
        <v>180</v>
      </c>
      <c r="F78" s="259" t="s">
        <v>278</v>
      </c>
      <c r="G78" s="259" t="s">
        <v>1630</v>
      </c>
      <c r="I78" s="256"/>
      <c r="J78" s="250"/>
    </row>
    <row r="79">
      <c r="B79" s="260" t="s">
        <v>227</v>
      </c>
      <c r="C79" s="262">
        <v>0.108</v>
      </c>
      <c r="D79" s="262">
        <v>0.088</v>
      </c>
      <c r="E79" s="262">
        <v>0.207</v>
      </c>
      <c r="F79" s="262">
        <v>0.03</v>
      </c>
      <c r="G79" s="262">
        <v>0.105</v>
      </c>
      <c r="I79" s="256"/>
      <c r="J79" s="250"/>
    </row>
    <row r="80">
      <c r="B80" s="260" t="s">
        <v>129</v>
      </c>
      <c r="C80" s="262">
        <v>0.108</v>
      </c>
      <c r="D80" s="262">
        <v>0.118</v>
      </c>
      <c r="E80" s="262">
        <v>0.276</v>
      </c>
      <c r="F80" s="262">
        <v>0.152</v>
      </c>
      <c r="G80" s="262">
        <v>0.158</v>
      </c>
      <c r="I80" s="256"/>
      <c r="J80" s="250"/>
    </row>
    <row r="81">
      <c r="B81" s="260" t="s">
        <v>159</v>
      </c>
      <c r="C81" s="262">
        <v>0.081</v>
      </c>
      <c r="D81" s="262">
        <v>0.029</v>
      </c>
      <c r="E81" s="262">
        <v>0.172</v>
      </c>
      <c r="F81" s="262">
        <v>0.091</v>
      </c>
      <c r="G81" s="262">
        <v>0.09</v>
      </c>
      <c r="I81" s="256"/>
      <c r="J81" s="250"/>
    </row>
    <row r="82">
      <c r="B82" s="260" t="s">
        <v>78</v>
      </c>
      <c r="C82" s="262">
        <v>0.216</v>
      </c>
      <c r="D82" s="262">
        <v>0.147</v>
      </c>
      <c r="E82" s="262">
        <v>0.0</v>
      </c>
      <c r="F82" s="262">
        <v>0.152</v>
      </c>
      <c r="G82" s="262">
        <v>0.135</v>
      </c>
      <c r="I82" s="256"/>
      <c r="J82" s="250"/>
    </row>
    <row r="83">
      <c r="B83" s="260" t="s">
        <v>187</v>
      </c>
      <c r="C83" s="262">
        <v>0.081</v>
      </c>
      <c r="D83" s="262">
        <v>0.118</v>
      </c>
      <c r="E83" s="262">
        <v>0.103</v>
      </c>
      <c r="F83" s="262">
        <v>0.03</v>
      </c>
      <c r="G83" s="262">
        <v>0.083</v>
      </c>
      <c r="I83" s="256"/>
      <c r="J83" s="250"/>
    </row>
    <row r="84">
      <c r="B84" s="260" t="s">
        <v>344</v>
      </c>
      <c r="C84" s="262">
        <v>0.0</v>
      </c>
      <c r="D84" s="262">
        <v>0.029</v>
      </c>
      <c r="E84" s="262">
        <v>0.0</v>
      </c>
      <c r="F84" s="262">
        <v>0.03</v>
      </c>
      <c r="G84" s="262">
        <v>0.015</v>
      </c>
      <c r="I84" s="256"/>
      <c r="J84" s="250"/>
    </row>
    <row r="85">
      <c r="B85" s="260" t="s">
        <v>127</v>
      </c>
      <c r="C85" s="262">
        <v>0.405</v>
      </c>
      <c r="D85" s="262">
        <v>0.471</v>
      </c>
      <c r="E85" s="262">
        <v>0.241</v>
      </c>
      <c r="F85" s="262">
        <v>0.515</v>
      </c>
      <c r="G85" s="262">
        <v>0.414</v>
      </c>
      <c r="I85" s="256"/>
      <c r="J85" s="250"/>
    </row>
    <row r="86">
      <c r="B86" s="261" t="s">
        <v>1630</v>
      </c>
      <c r="C86" s="263">
        <v>1.0</v>
      </c>
      <c r="D86" s="263">
        <v>1.0</v>
      </c>
      <c r="E86" s="263">
        <v>1.0</v>
      </c>
      <c r="F86" s="263">
        <v>1.0</v>
      </c>
      <c r="G86" s="263">
        <v>1.0</v>
      </c>
      <c r="I86" s="256"/>
      <c r="J86" s="250"/>
    </row>
    <row r="87">
      <c r="B87" s="258"/>
      <c r="C87" s="258"/>
      <c r="D87" s="258"/>
      <c r="E87" s="258"/>
      <c r="F87" s="258"/>
      <c r="G87" s="258"/>
      <c r="I87" s="256"/>
      <c r="J87" s="250"/>
    </row>
    <row r="88">
      <c r="B88" s="257" t="s">
        <v>2128</v>
      </c>
      <c r="C88" s="258"/>
      <c r="D88" s="258"/>
      <c r="E88" s="258"/>
      <c r="F88" s="258"/>
      <c r="G88" s="258"/>
      <c r="I88" s="256"/>
      <c r="J88" s="250"/>
    </row>
    <row r="89">
      <c r="B89" s="259" t="s">
        <v>48</v>
      </c>
      <c r="C89" s="259" t="s">
        <v>149</v>
      </c>
      <c r="D89" s="259" t="s">
        <v>60</v>
      </c>
      <c r="E89" s="259" t="s">
        <v>1630</v>
      </c>
      <c r="F89" s="258"/>
      <c r="G89" s="258"/>
      <c r="I89" s="256"/>
      <c r="J89" s="250"/>
    </row>
    <row r="90">
      <c r="B90" s="260" t="s">
        <v>227</v>
      </c>
      <c r="C90" s="260">
        <v>3.0</v>
      </c>
      <c r="D90" s="260">
        <v>11.0</v>
      </c>
      <c r="E90" s="260">
        <v>14.0</v>
      </c>
      <c r="F90" s="258"/>
      <c r="G90" s="258"/>
      <c r="I90" s="256"/>
      <c r="J90" s="250"/>
    </row>
    <row r="91">
      <c r="B91" s="260" t="s">
        <v>129</v>
      </c>
      <c r="C91" s="260">
        <v>9.0</v>
      </c>
      <c r="D91" s="260">
        <v>12.0</v>
      </c>
      <c r="E91" s="260">
        <v>21.0</v>
      </c>
      <c r="F91" s="258"/>
      <c r="G91" s="258"/>
      <c r="I91" s="256"/>
      <c r="J91" s="250"/>
    </row>
    <row r="92">
      <c r="B92" s="260" t="s">
        <v>159</v>
      </c>
      <c r="C92" s="260">
        <v>3.0</v>
      </c>
      <c r="D92" s="260">
        <v>9.0</v>
      </c>
      <c r="E92" s="260">
        <v>12.0</v>
      </c>
      <c r="F92" s="258"/>
      <c r="G92" s="258"/>
      <c r="I92" s="256"/>
      <c r="J92" s="250"/>
    </row>
    <row r="93">
      <c r="B93" s="260" t="s">
        <v>78</v>
      </c>
      <c r="C93" s="260">
        <v>10.0</v>
      </c>
      <c r="D93" s="260">
        <v>8.0</v>
      </c>
      <c r="E93" s="260">
        <v>18.0</v>
      </c>
      <c r="F93" s="258"/>
      <c r="G93" s="258"/>
      <c r="I93" s="256"/>
      <c r="J93" s="250"/>
    </row>
    <row r="94">
      <c r="B94" s="260" t="s">
        <v>187</v>
      </c>
      <c r="C94" s="260">
        <v>4.0</v>
      </c>
      <c r="D94" s="260">
        <v>7.0</v>
      </c>
      <c r="E94" s="260">
        <v>11.0</v>
      </c>
      <c r="F94" s="258"/>
      <c r="G94" s="258"/>
      <c r="I94" s="256"/>
      <c r="J94" s="250"/>
    </row>
    <row r="95">
      <c r="B95" s="260" t="s">
        <v>344</v>
      </c>
      <c r="C95" s="260">
        <v>2.0</v>
      </c>
      <c r="D95" s="260">
        <v>0.0</v>
      </c>
      <c r="E95" s="260">
        <v>2.0</v>
      </c>
      <c r="F95" s="258"/>
      <c r="G95" s="258"/>
      <c r="I95" s="256"/>
      <c r="J95" s="250"/>
    </row>
    <row r="96">
      <c r="B96" s="260" t="s">
        <v>127</v>
      </c>
      <c r="C96" s="260">
        <v>24.0</v>
      </c>
      <c r="D96" s="260">
        <v>31.0</v>
      </c>
      <c r="E96" s="260">
        <v>55.0</v>
      </c>
      <c r="F96" s="258"/>
      <c r="G96" s="258"/>
      <c r="I96" s="256"/>
      <c r="J96" s="250"/>
    </row>
    <row r="97">
      <c r="B97" s="261" t="s">
        <v>1630</v>
      </c>
      <c r="C97" s="261">
        <v>55.0</v>
      </c>
      <c r="D97" s="261">
        <v>78.0</v>
      </c>
      <c r="E97" s="261">
        <v>133.0</v>
      </c>
      <c r="F97" s="258"/>
      <c r="G97" s="258"/>
      <c r="I97" s="256"/>
      <c r="J97" s="250"/>
    </row>
    <row r="98">
      <c r="B98" s="258"/>
      <c r="C98" s="258"/>
      <c r="D98" s="258"/>
      <c r="E98" s="258"/>
      <c r="F98" s="258"/>
      <c r="G98" s="258"/>
      <c r="I98" s="256"/>
      <c r="J98" s="250"/>
    </row>
    <row r="99">
      <c r="B99" s="257" t="s">
        <v>2129</v>
      </c>
      <c r="C99" s="258"/>
      <c r="D99" s="258"/>
      <c r="E99" s="258"/>
      <c r="F99" s="258"/>
      <c r="G99" s="258"/>
      <c r="I99" s="256"/>
      <c r="J99" s="250"/>
    </row>
    <row r="100">
      <c r="B100" s="259" t="s">
        <v>48</v>
      </c>
      <c r="C100" s="259" t="s">
        <v>149</v>
      </c>
      <c r="D100" s="259" t="s">
        <v>60</v>
      </c>
      <c r="E100" s="259" t="s">
        <v>1630</v>
      </c>
      <c r="F100" s="258"/>
      <c r="G100" s="258"/>
      <c r="I100" s="256"/>
      <c r="J100" s="250"/>
    </row>
    <row r="101">
      <c r="B101" s="260" t="s">
        <v>227</v>
      </c>
      <c r="C101" s="262">
        <v>0.055</v>
      </c>
      <c r="D101" s="262">
        <v>0.141</v>
      </c>
      <c r="E101" s="262">
        <v>0.105</v>
      </c>
      <c r="F101" s="258"/>
      <c r="G101" s="258"/>
      <c r="I101" s="256"/>
      <c r="J101" s="250"/>
    </row>
    <row r="102">
      <c r="B102" s="260" t="s">
        <v>129</v>
      </c>
      <c r="C102" s="262">
        <v>0.164</v>
      </c>
      <c r="D102" s="262">
        <v>0.154</v>
      </c>
      <c r="E102" s="262">
        <v>0.158</v>
      </c>
      <c r="F102" s="258"/>
      <c r="G102" s="258"/>
      <c r="I102" s="256"/>
      <c r="J102" s="250"/>
    </row>
    <row r="103">
      <c r="B103" s="260" t="s">
        <v>159</v>
      </c>
      <c r="C103" s="262">
        <v>0.055</v>
      </c>
      <c r="D103" s="262">
        <v>0.115</v>
      </c>
      <c r="E103" s="262">
        <v>0.09</v>
      </c>
      <c r="F103" s="258"/>
      <c r="G103" s="258"/>
      <c r="I103" s="256"/>
      <c r="J103" s="250"/>
    </row>
    <row r="104">
      <c r="B104" s="260" t="s">
        <v>78</v>
      </c>
      <c r="C104" s="262">
        <v>0.182</v>
      </c>
      <c r="D104" s="262">
        <v>0.103</v>
      </c>
      <c r="E104" s="262">
        <v>0.135</v>
      </c>
      <c r="F104" s="258"/>
      <c r="G104" s="258"/>
      <c r="I104" s="256"/>
      <c r="J104" s="250"/>
    </row>
    <row r="105">
      <c r="B105" s="260" t="s">
        <v>187</v>
      </c>
      <c r="C105" s="262">
        <v>0.073</v>
      </c>
      <c r="D105" s="262">
        <v>0.09</v>
      </c>
      <c r="E105" s="262">
        <v>0.083</v>
      </c>
      <c r="F105" s="258"/>
      <c r="G105" s="258"/>
      <c r="I105" s="256"/>
      <c r="J105" s="250"/>
    </row>
    <row r="106">
      <c r="B106" s="260" t="s">
        <v>344</v>
      </c>
      <c r="C106" s="262">
        <v>0.036</v>
      </c>
      <c r="D106" s="262">
        <v>0.0</v>
      </c>
      <c r="E106" s="262">
        <v>0.015</v>
      </c>
      <c r="F106" s="258"/>
      <c r="G106" s="258"/>
      <c r="I106" s="256"/>
      <c r="J106" s="250"/>
    </row>
    <row r="107">
      <c r="B107" s="260" t="s">
        <v>127</v>
      </c>
      <c r="C107" s="262">
        <v>0.436</v>
      </c>
      <c r="D107" s="262">
        <v>0.397</v>
      </c>
      <c r="E107" s="262">
        <v>0.414</v>
      </c>
      <c r="F107" s="258"/>
      <c r="G107" s="258"/>
      <c r="I107" s="256"/>
      <c r="J107" s="250"/>
    </row>
    <row r="108">
      <c r="B108" s="261" t="s">
        <v>1630</v>
      </c>
      <c r="C108" s="263">
        <v>1.0</v>
      </c>
      <c r="D108" s="263">
        <v>1.0</v>
      </c>
      <c r="E108" s="263">
        <v>1.0</v>
      </c>
      <c r="F108" s="258"/>
      <c r="G108" s="258"/>
      <c r="I108" s="256"/>
      <c r="J108" s="250"/>
    </row>
    <row r="109">
      <c r="I109" s="256"/>
      <c r="J109" s="250"/>
    </row>
    <row r="110">
      <c r="I110" s="256"/>
      <c r="J110" s="250"/>
    </row>
    <row r="111">
      <c r="I111" s="256"/>
      <c r="J111" s="250"/>
    </row>
    <row r="112">
      <c r="I112" s="256"/>
      <c r="J112" s="250"/>
    </row>
    <row r="113">
      <c r="I113" s="256"/>
      <c r="J113" s="250"/>
    </row>
    <row r="114">
      <c r="I114" s="256"/>
      <c r="J114" s="250"/>
    </row>
    <row r="115">
      <c r="I115" s="256"/>
      <c r="J115" s="250"/>
    </row>
    <row r="116">
      <c r="I116" s="256"/>
      <c r="J116" s="250"/>
    </row>
    <row r="117">
      <c r="I117" s="256"/>
      <c r="J117" s="250"/>
    </row>
    <row r="118">
      <c r="I118" s="256"/>
      <c r="J118" s="250"/>
    </row>
    <row r="119">
      <c r="I119" s="256"/>
      <c r="J119" s="250"/>
    </row>
    <row r="120">
      <c r="I120" s="256"/>
      <c r="J120" s="250"/>
    </row>
    <row r="121">
      <c r="I121" s="256"/>
      <c r="J121" s="250"/>
    </row>
    <row r="122">
      <c r="I122" s="256"/>
      <c r="J122" s="250"/>
    </row>
    <row r="123">
      <c r="I123" s="256"/>
      <c r="J123" s="250"/>
    </row>
    <row r="124">
      <c r="I124" s="256"/>
      <c r="J124" s="250"/>
    </row>
    <row r="125">
      <c r="I125" s="256"/>
      <c r="J125" s="250"/>
    </row>
    <row r="126">
      <c r="I126" s="256"/>
      <c r="J126" s="250"/>
    </row>
    <row r="127">
      <c r="I127" s="256"/>
      <c r="J127" s="250"/>
    </row>
    <row r="128">
      <c r="I128" s="256"/>
      <c r="J128" s="250"/>
    </row>
    <row r="129">
      <c r="I129" s="256"/>
      <c r="J129" s="250"/>
    </row>
    <row r="130">
      <c r="I130" s="256"/>
      <c r="J130" s="250"/>
    </row>
    <row r="131">
      <c r="I131" s="256"/>
      <c r="J131" s="250"/>
    </row>
    <row r="132">
      <c r="I132" s="256"/>
      <c r="J132" s="250"/>
    </row>
    <row r="133">
      <c r="I133" s="256"/>
      <c r="J133" s="250"/>
    </row>
    <row r="134">
      <c r="I134" s="256"/>
      <c r="J134" s="250"/>
    </row>
    <row r="135">
      <c r="I135" s="256"/>
      <c r="J135" s="250"/>
    </row>
    <row r="136">
      <c r="I136" s="256"/>
      <c r="J136" s="250"/>
    </row>
    <row r="137">
      <c r="I137" s="256"/>
      <c r="J137" s="250"/>
    </row>
    <row r="138">
      <c r="I138" s="256"/>
      <c r="J138" s="250"/>
    </row>
    <row r="139">
      <c r="I139" s="256"/>
      <c r="J139" s="250"/>
    </row>
    <row r="140">
      <c r="I140" s="256"/>
      <c r="J140" s="250"/>
    </row>
    <row r="141">
      <c r="I141" s="256"/>
      <c r="J141" s="250"/>
    </row>
    <row r="142">
      <c r="I142" s="256"/>
      <c r="J142" s="250"/>
    </row>
    <row r="143">
      <c r="I143" s="256"/>
      <c r="J143" s="250"/>
    </row>
    <row r="144">
      <c r="I144" s="256"/>
      <c r="J144" s="250"/>
    </row>
    <row r="145">
      <c r="I145" s="256"/>
      <c r="J145" s="250"/>
    </row>
    <row r="146">
      <c r="I146" s="256"/>
      <c r="J146" s="250"/>
    </row>
    <row r="147">
      <c r="I147" s="256"/>
      <c r="J147" s="250"/>
    </row>
    <row r="148">
      <c r="I148" s="256"/>
      <c r="J148" s="250"/>
    </row>
    <row r="149">
      <c r="I149" s="256"/>
      <c r="J149" s="250"/>
    </row>
    <row r="150">
      <c r="I150" s="256"/>
      <c r="J150" s="250"/>
    </row>
    <row r="151">
      <c r="I151" s="256"/>
      <c r="J151" s="250"/>
    </row>
    <row r="152">
      <c r="I152" s="256"/>
      <c r="J152" s="250"/>
    </row>
    <row r="153">
      <c r="I153" s="256"/>
      <c r="J153" s="250"/>
    </row>
    <row r="154">
      <c r="I154" s="256"/>
      <c r="J154" s="250"/>
    </row>
    <row r="155">
      <c r="I155" s="256"/>
      <c r="J155" s="250"/>
    </row>
    <row r="156">
      <c r="I156" s="256"/>
      <c r="J156" s="250"/>
    </row>
    <row r="157">
      <c r="I157" s="256"/>
      <c r="J157" s="250"/>
    </row>
    <row r="158">
      <c r="I158" s="256"/>
      <c r="J158" s="250"/>
    </row>
    <row r="159">
      <c r="I159" s="256"/>
      <c r="J159" s="250"/>
    </row>
    <row r="160">
      <c r="I160" s="256"/>
      <c r="J160" s="250"/>
    </row>
    <row r="161">
      <c r="I161" s="256"/>
      <c r="J161" s="250"/>
    </row>
    <row r="162">
      <c r="I162" s="256"/>
      <c r="J162" s="250"/>
    </row>
    <row r="163">
      <c r="I163" s="256"/>
      <c r="J163" s="250"/>
    </row>
    <row r="164">
      <c r="I164" s="256"/>
      <c r="J164" s="250"/>
    </row>
    <row r="165">
      <c r="I165" s="256"/>
      <c r="J165" s="250"/>
    </row>
    <row r="166">
      <c r="I166" s="256"/>
      <c r="J166" s="250"/>
    </row>
    <row r="167">
      <c r="I167" s="256"/>
      <c r="J167" s="250"/>
    </row>
    <row r="168">
      <c r="I168" s="256"/>
      <c r="J168" s="250"/>
    </row>
    <row r="169">
      <c r="I169" s="256"/>
      <c r="J169" s="250"/>
    </row>
    <row r="170">
      <c r="I170" s="256"/>
      <c r="J170" s="250"/>
    </row>
    <row r="171">
      <c r="I171" s="256"/>
      <c r="J171" s="250"/>
    </row>
    <row r="172">
      <c r="I172" s="256"/>
      <c r="J172" s="250"/>
    </row>
    <row r="173">
      <c r="I173" s="256"/>
      <c r="J173" s="250"/>
    </row>
    <row r="174">
      <c r="I174" s="256"/>
      <c r="J174" s="250"/>
    </row>
    <row r="175">
      <c r="I175" s="256"/>
      <c r="J175" s="250"/>
    </row>
    <row r="176">
      <c r="I176" s="256"/>
      <c r="J176" s="250"/>
    </row>
    <row r="177">
      <c r="I177" s="256"/>
      <c r="J177" s="250"/>
    </row>
    <row r="178">
      <c r="I178" s="256"/>
      <c r="J178" s="250"/>
    </row>
    <row r="179">
      <c r="I179" s="256"/>
      <c r="J179" s="250"/>
    </row>
    <row r="180">
      <c r="I180" s="256"/>
      <c r="J180" s="250"/>
    </row>
    <row r="181">
      <c r="I181" s="256"/>
      <c r="J181" s="250"/>
    </row>
    <row r="182">
      <c r="I182" s="256"/>
      <c r="J182" s="250"/>
    </row>
    <row r="183">
      <c r="I183" s="256"/>
      <c r="J183" s="250"/>
    </row>
    <row r="184">
      <c r="I184" s="256"/>
      <c r="J184" s="250"/>
    </row>
    <row r="185">
      <c r="I185" s="256"/>
      <c r="J185" s="250"/>
    </row>
    <row r="186">
      <c r="I186" s="256"/>
      <c r="J186" s="250"/>
    </row>
    <row r="187">
      <c r="I187" s="256"/>
      <c r="J187" s="250"/>
    </row>
    <row r="188">
      <c r="I188" s="256"/>
      <c r="J188" s="250"/>
    </row>
    <row r="189">
      <c r="I189" s="256"/>
      <c r="J189" s="250"/>
    </row>
    <row r="190">
      <c r="I190" s="256"/>
      <c r="J190" s="250"/>
    </row>
    <row r="191">
      <c r="I191" s="256"/>
      <c r="J191" s="250"/>
    </row>
    <row r="192">
      <c r="I192" s="256"/>
      <c r="J192" s="250"/>
    </row>
    <row r="193">
      <c r="I193" s="256"/>
      <c r="J193" s="250"/>
    </row>
    <row r="194">
      <c r="I194" s="256"/>
      <c r="J194" s="250"/>
    </row>
    <row r="195">
      <c r="I195" s="256"/>
      <c r="J195" s="250"/>
    </row>
    <row r="196">
      <c r="I196" s="256"/>
      <c r="J196" s="250"/>
    </row>
    <row r="197">
      <c r="I197" s="256"/>
      <c r="J197" s="250"/>
    </row>
    <row r="198">
      <c r="I198" s="256"/>
      <c r="J198" s="250"/>
    </row>
    <row r="199">
      <c r="I199" s="256"/>
      <c r="J199" s="250"/>
    </row>
    <row r="200">
      <c r="I200" s="256"/>
      <c r="J200" s="250"/>
    </row>
    <row r="201">
      <c r="I201" s="256"/>
      <c r="J201" s="250"/>
    </row>
    <row r="202">
      <c r="I202" s="256"/>
      <c r="J202" s="250"/>
    </row>
    <row r="203">
      <c r="I203" s="256"/>
      <c r="J203" s="250"/>
    </row>
    <row r="204">
      <c r="I204" s="256"/>
      <c r="J204" s="250"/>
    </row>
    <row r="205">
      <c r="I205" s="256"/>
      <c r="J205" s="250"/>
    </row>
    <row r="206">
      <c r="I206" s="256"/>
      <c r="J206" s="250"/>
    </row>
    <row r="207">
      <c r="I207" s="256"/>
      <c r="J207" s="250"/>
    </row>
    <row r="208">
      <c r="I208" s="256"/>
      <c r="J208" s="250"/>
    </row>
    <row r="209">
      <c r="I209" s="256"/>
      <c r="J209" s="250"/>
    </row>
    <row r="210">
      <c r="I210" s="256"/>
      <c r="J210" s="250"/>
    </row>
    <row r="211">
      <c r="I211" s="256"/>
      <c r="J211" s="250"/>
    </row>
    <row r="212">
      <c r="I212" s="256"/>
      <c r="J212" s="250"/>
    </row>
    <row r="213">
      <c r="I213" s="256"/>
      <c r="J213" s="250"/>
    </row>
    <row r="214">
      <c r="I214" s="256"/>
      <c r="J214" s="250"/>
    </row>
    <row r="215">
      <c r="I215" s="256"/>
      <c r="J215" s="250"/>
    </row>
    <row r="216">
      <c r="I216" s="256"/>
      <c r="J216" s="250"/>
    </row>
    <row r="217">
      <c r="I217" s="256"/>
      <c r="J217" s="250"/>
    </row>
    <row r="218">
      <c r="I218" s="256"/>
      <c r="J218" s="250"/>
    </row>
    <row r="219">
      <c r="I219" s="256"/>
      <c r="J219" s="250"/>
    </row>
    <row r="220">
      <c r="I220" s="256"/>
      <c r="J220" s="250"/>
    </row>
    <row r="221">
      <c r="I221" s="256"/>
      <c r="J221" s="250"/>
    </row>
    <row r="222">
      <c r="I222" s="256"/>
      <c r="J222" s="250"/>
    </row>
    <row r="223">
      <c r="I223" s="256"/>
      <c r="J223" s="250"/>
    </row>
    <row r="224">
      <c r="I224" s="256"/>
      <c r="J224" s="250"/>
    </row>
    <row r="225">
      <c r="I225" s="256"/>
      <c r="J225" s="250"/>
    </row>
    <row r="226">
      <c r="I226" s="256"/>
      <c r="J226" s="250"/>
    </row>
    <row r="227">
      <c r="I227" s="256"/>
      <c r="J227" s="250"/>
    </row>
    <row r="228">
      <c r="I228" s="256"/>
      <c r="J228" s="250"/>
    </row>
    <row r="229">
      <c r="I229" s="256"/>
      <c r="J229" s="250"/>
    </row>
    <row r="230">
      <c r="I230" s="256"/>
      <c r="J230" s="250"/>
    </row>
    <row r="231">
      <c r="I231" s="256"/>
      <c r="J231" s="250"/>
    </row>
    <row r="232">
      <c r="I232" s="256"/>
      <c r="J232" s="250"/>
    </row>
    <row r="233">
      <c r="I233" s="256"/>
      <c r="J233" s="250"/>
    </row>
    <row r="234">
      <c r="I234" s="256"/>
      <c r="J234" s="250"/>
    </row>
    <row r="235">
      <c r="I235" s="256"/>
      <c r="J235" s="250"/>
    </row>
    <row r="236">
      <c r="I236" s="256"/>
      <c r="J236" s="250"/>
    </row>
    <row r="237">
      <c r="I237" s="256"/>
      <c r="J237" s="250"/>
    </row>
    <row r="238">
      <c r="I238" s="256"/>
      <c r="J238" s="250"/>
    </row>
    <row r="239">
      <c r="I239" s="256"/>
      <c r="J239" s="250"/>
    </row>
    <row r="240">
      <c r="I240" s="256"/>
      <c r="J240" s="250"/>
    </row>
    <row r="241">
      <c r="I241" s="256"/>
      <c r="J241" s="250"/>
    </row>
    <row r="242">
      <c r="I242" s="256"/>
      <c r="J242" s="250"/>
    </row>
    <row r="243">
      <c r="I243" s="256"/>
      <c r="J243" s="250"/>
    </row>
    <row r="244">
      <c r="I244" s="256"/>
      <c r="J244" s="250"/>
    </row>
    <row r="245">
      <c r="I245" s="256"/>
      <c r="J245" s="250"/>
    </row>
    <row r="246">
      <c r="I246" s="256"/>
      <c r="J246" s="250"/>
    </row>
    <row r="247">
      <c r="I247" s="256"/>
      <c r="J247" s="250"/>
    </row>
    <row r="248">
      <c r="I248" s="256"/>
      <c r="J248" s="250"/>
    </row>
    <row r="249">
      <c r="I249" s="256"/>
      <c r="J249" s="250"/>
    </row>
    <row r="250">
      <c r="I250" s="256"/>
      <c r="J250" s="250"/>
    </row>
    <row r="251">
      <c r="I251" s="256"/>
      <c r="J251" s="250"/>
    </row>
    <row r="252">
      <c r="I252" s="256"/>
      <c r="J252" s="250"/>
    </row>
    <row r="253">
      <c r="I253" s="256"/>
      <c r="J253" s="250"/>
    </row>
    <row r="254">
      <c r="I254" s="256"/>
      <c r="J254" s="250"/>
    </row>
    <row r="255">
      <c r="I255" s="256"/>
      <c r="J255" s="250"/>
    </row>
    <row r="256">
      <c r="I256" s="256"/>
      <c r="J256" s="250"/>
    </row>
    <row r="257">
      <c r="I257" s="256"/>
      <c r="J257" s="250"/>
    </row>
    <row r="258">
      <c r="I258" s="256"/>
      <c r="J258" s="250"/>
    </row>
    <row r="259">
      <c r="I259" s="256"/>
      <c r="J259" s="250"/>
    </row>
    <row r="260">
      <c r="I260" s="256"/>
      <c r="J260" s="250"/>
    </row>
    <row r="261">
      <c r="I261" s="256"/>
      <c r="J261" s="250"/>
    </row>
    <row r="262">
      <c r="I262" s="256"/>
      <c r="J262" s="250"/>
    </row>
    <row r="263">
      <c r="I263" s="256"/>
      <c r="J263" s="250"/>
    </row>
    <row r="264">
      <c r="I264" s="256"/>
      <c r="J264" s="250"/>
    </row>
    <row r="265">
      <c r="I265" s="256"/>
      <c r="J265" s="250"/>
    </row>
    <row r="266">
      <c r="I266" s="256"/>
      <c r="J266" s="250"/>
    </row>
    <row r="267">
      <c r="I267" s="256"/>
      <c r="J267" s="250"/>
    </row>
    <row r="268">
      <c r="I268" s="256"/>
      <c r="J268" s="250"/>
    </row>
    <row r="269">
      <c r="I269" s="256"/>
      <c r="J269" s="250"/>
    </row>
    <row r="270">
      <c r="I270" s="256"/>
      <c r="J270" s="250"/>
    </row>
    <row r="271">
      <c r="I271" s="256"/>
      <c r="J271" s="250"/>
    </row>
    <row r="272">
      <c r="I272" s="256"/>
      <c r="J272" s="250"/>
    </row>
    <row r="273">
      <c r="I273" s="256"/>
      <c r="J273" s="250"/>
    </row>
    <row r="274">
      <c r="I274" s="256"/>
      <c r="J274" s="250"/>
    </row>
    <row r="275">
      <c r="I275" s="256"/>
      <c r="J275" s="250"/>
    </row>
    <row r="276">
      <c r="I276" s="256"/>
      <c r="J276" s="250"/>
    </row>
    <row r="277">
      <c r="I277" s="256"/>
      <c r="J277" s="250"/>
    </row>
    <row r="278">
      <c r="I278" s="256"/>
      <c r="J278" s="250"/>
    </row>
    <row r="279">
      <c r="I279" s="256"/>
      <c r="J279" s="250"/>
    </row>
    <row r="280">
      <c r="I280" s="256"/>
      <c r="J280" s="250"/>
    </row>
    <row r="281">
      <c r="I281" s="256"/>
      <c r="J281" s="250"/>
    </row>
    <row r="282">
      <c r="I282" s="256"/>
      <c r="J282" s="250"/>
    </row>
    <row r="283">
      <c r="I283" s="256"/>
      <c r="J283" s="250"/>
    </row>
    <row r="284">
      <c r="I284" s="256"/>
      <c r="J284" s="250"/>
    </row>
    <row r="285">
      <c r="I285" s="256"/>
      <c r="J285" s="250"/>
    </row>
    <row r="286">
      <c r="I286" s="256"/>
      <c r="J286" s="250"/>
    </row>
    <row r="287">
      <c r="I287" s="256"/>
      <c r="J287" s="250"/>
    </row>
    <row r="288">
      <c r="I288" s="256"/>
      <c r="J288" s="250"/>
    </row>
    <row r="289">
      <c r="I289" s="256"/>
      <c r="J289" s="250"/>
    </row>
    <row r="290">
      <c r="I290" s="256"/>
      <c r="J290" s="250"/>
    </row>
    <row r="291">
      <c r="I291" s="256"/>
      <c r="J291" s="250"/>
    </row>
    <row r="292">
      <c r="I292" s="256"/>
      <c r="J292" s="250"/>
    </row>
    <row r="293">
      <c r="I293" s="256"/>
      <c r="J293" s="250"/>
    </row>
    <row r="294">
      <c r="I294" s="256"/>
      <c r="J294" s="250"/>
    </row>
    <row r="295">
      <c r="I295" s="256"/>
      <c r="J295" s="250"/>
    </row>
    <row r="296">
      <c r="I296" s="256"/>
      <c r="J296" s="250"/>
    </row>
    <row r="297">
      <c r="I297" s="256"/>
      <c r="J297" s="250"/>
    </row>
    <row r="298">
      <c r="I298" s="256"/>
      <c r="J298" s="250"/>
    </row>
    <row r="299">
      <c r="I299" s="256"/>
      <c r="J299" s="250"/>
    </row>
    <row r="300">
      <c r="I300" s="256"/>
      <c r="J300" s="250"/>
    </row>
    <row r="301">
      <c r="I301" s="256"/>
      <c r="J301" s="250"/>
    </row>
    <row r="302">
      <c r="I302" s="256"/>
      <c r="J302" s="250"/>
    </row>
    <row r="303">
      <c r="I303" s="256"/>
      <c r="J303" s="250"/>
    </row>
    <row r="304">
      <c r="I304" s="256"/>
      <c r="J304" s="250"/>
    </row>
    <row r="305">
      <c r="I305" s="256"/>
      <c r="J305" s="250"/>
    </row>
    <row r="306">
      <c r="I306" s="256"/>
      <c r="J306" s="250"/>
    </row>
    <row r="307">
      <c r="I307" s="256"/>
      <c r="J307" s="250"/>
    </row>
    <row r="308">
      <c r="I308" s="256"/>
      <c r="J308" s="250"/>
    </row>
    <row r="309">
      <c r="I309" s="256"/>
      <c r="J309" s="250"/>
    </row>
    <row r="310">
      <c r="I310" s="256"/>
      <c r="J310" s="250"/>
    </row>
    <row r="311">
      <c r="I311" s="256"/>
      <c r="J311" s="250"/>
    </row>
    <row r="312">
      <c r="I312" s="256"/>
      <c r="J312" s="250"/>
    </row>
    <row r="313">
      <c r="I313" s="256"/>
      <c r="J313" s="250"/>
    </row>
    <row r="314">
      <c r="I314" s="256"/>
      <c r="J314" s="250"/>
    </row>
    <row r="315">
      <c r="I315" s="256"/>
      <c r="J315" s="250"/>
    </row>
    <row r="316">
      <c r="I316" s="256"/>
      <c r="J316" s="250"/>
    </row>
    <row r="317">
      <c r="I317" s="256"/>
      <c r="J317" s="250"/>
    </row>
    <row r="318">
      <c r="I318" s="256"/>
      <c r="J318" s="250"/>
    </row>
    <row r="319">
      <c r="I319" s="256"/>
      <c r="J319" s="250"/>
    </row>
    <row r="320">
      <c r="I320" s="256"/>
      <c r="J320" s="250"/>
    </row>
    <row r="321">
      <c r="I321" s="256"/>
      <c r="J321" s="250"/>
    </row>
    <row r="322">
      <c r="I322" s="256"/>
      <c r="J322" s="250"/>
    </row>
    <row r="323">
      <c r="I323" s="256"/>
      <c r="J323" s="250"/>
    </row>
    <row r="324">
      <c r="I324" s="256"/>
      <c r="J324" s="250"/>
    </row>
    <row r="325">
      <c r="I325" s="256"/>
      <c r="J325" s="250"/>
    </row>
    <row r="326">
      <c r="I326" s="256"/>
      <c r="J326" s="250"/>
    </row>
    <row r="327">
      <c r="I327" s="256"/>
      <c r="J327" s="250"/>
    </row>
    <row r="328">
      <c r="I328" s="256"/>
      <c r="J328" s="250"/>
    </row>
    <row r="329">
      <c r="I329" s="256"/>
      <c r="J329" s="250"/>
    </row>
    <row r="330">
      <c r="I330" s="256"/>
      <c r="J330" s="250"/>
    </row>
    <row r="331">
      <c r="I331" s="256"/>
      <c r="J331" s="250"/>
    </row>
    <row r="332">
      <c r="I332" s="256"/>
      <c r="J332" s="250"/>
    </row>
    <row r="333">
      <c r="I333" s="256"/>
      <c r="J333" s="250"/>
    </row>
    <row r="334">
      <c r="I334" s="256"/>
      <c r="J334" s="250"/>
    </row>
    <row r="335">
      <c r="I335" s="256"/>
      <c r="J335" s="250"/>
    </row>
    <row r="336">
      <c r="I336" s="256"/>
      <c r="J336" s="250"/>
    </row>
    <row r="337">
      <c r="I337" s="256"/>
      <c r="J337" s="250"/>
    </row>
    <row r="338">
      <c r="I338" s="256"/>
      <c r="J338" s="250"/>
    </row>
    <row r="339">
      <c r="I339" s="256"/>
      <c r="J339" s="250"/>
    </row>
    <row r="340">
      <c r="I340" s="256"/>
      <c r="J340" s="250"/>
    </row>
    <row r="341">
      <c r="I341" s="256"/>
      <c r="J341" s="250"/>
    </row>
    <row r="342">
      <c r="I342" s="256"/>
      <c r="J342" s="250"/>
    </row>
    <row r="343">
      <c r="I343" s="256"/>
      <c r="J343" s="250"/>
    </row>
    <row r="344">
      <c r="I344" s="256"/>
      <c r="J344" s="250"/>
    </row>
    <row r="345">
      <c r="I345" s="256"/>
      <c r="J345" s="250"/>
    </row>
    <row r="346">
      <c r="I346" s="256"/>
      <c r="J346" s="250"/>
    </row>
    <row r="347">
      <c r="I347" s="256"/>
      <c r="J347" s="250"/>
    </row>
    <row r="348">
      <c r="I348" s="256"/>
      <c r="J348" s="250"/>
    </row>
    <row r="349">
      <c r="I349" s="256"/>
      <c r="J349" s="250"/>
    </row>
    <row r="350">
      <c r="I350" s="256"/>
      <c r="J350" s="250"/>
    </row>
    <row r="351">
      <c r="I351" s="256"/>
      <c r="J351" s="250"/>
    </row>
    <row r="352">
      <c r="I352" s="256"/>
      <c r="J352" s="250"/>
    </row>
    <row r="353">
      <c r="I353" s="256"/>
      <c r="J353" s="250"/>
    </row>
    <row r="354">
      <c r="I354" s="256"/>
      <c r="J354" s="250"/>
    </row>
    <row r="355">
      <c r="I355" s="256"/>
      <c r="J355" s="250"/>
    </row>
    <row r="356">
      <c r="I356" s="256"/>
      <c r="J356" s="250"/>
    </row>
    <row r="357">
      <c r="I357" s="256"/>
      <c r="J357" s="250"/>
    </row>
    <row r="358">
      <c r="I358" s="256"/>
      <c r="J358" s="250"/>
    </row>
    <row r="359">
      <c r="I359" s="256"/>
      <c r="J359" s="250"/>
    </row>
    <row r="360">
      <c r="I360" s="256"/>
      <c r="J360" s="250"/>
    </row>
    <row r="361">
      <c r="I361" s="256"/>
      <c r="J361" s="250"/>
    </row>
    <row r="362">
      <c r="I362" s="256"/>
      <c r="J362" s="250"/>
    </row>
    <row r="363">
      <c r="I363" s="256"/>
      <c r="J363" s="250"/>
    </row>
    <row r="364">
      <c r="I364" s="256"/>
      <c r="J364" s="250"/>
    </row>
    <row r="365">
      <c r="I365" s="256"/>
      <c r="J365" s="250"/>
    </row>
    <row r="366">
      <c r="I366" s="256"/>
      <c r="J366" s="250"/>
    </row>
    <row r="367">
      <c r="I367" s="256"/>
      <c r="J367" s="250"/>
    </row>
    <row r="368">
      <c r="I368" s="256"/>
      <c r="J368" s="250"/>
    </row>
    <row r="369">
      <c r="I369" s="256"/>
      <c r="J369" s="250"/>
    </row>
    <row r="370">
      <c r="I370" s="256"/>
      <c r="J370" s="250"/>
    </row>
    <row r="371">
      <c r="I371" s="256"/>
      <c r="J371" s="250"/>
    </row>
    <row r="372">
      <c r="I372" s="256"/>
      <c r="J372" s="250"/>
    </row>
    <row r="373">
      <c r="I373" s="256"/>
      <c r="J373" s="250"/>
    </row>
    <row r="374">
      <c r="I374" s="256"/>
      <c r="J374" s="250"/>
    </row>
    <row r="375">
      <c r="I375" s="256"/>
      <c r="J375" s="250"/>
    </row>
    <row r="376">
      <c r="I376" s="256"/>
      <c r="J376" s="250"/>
    </row>
    <row r="377">
      <c r="I377" s="256"/>
      <c r="J377" s="250"/>
    </row>
    <row r="378">
      <c r="I378" s="256"/>
      <c r="J378" s="250"/>
    </row>
    <row r="379">
      <c r="I379" s="256"/>
      <c r="J379" s="250"/>
    </row>
    <row r="380">
      <c r="I380" s="256"/>
      <c r="J380" s="250"/>
    </row>
    <row r="381">
      <c r="I381" s="256"/>
      <c r="J381" s="250"/>
    </row>
    <row r="382">
      <c r="I382" s="256"/>
      <c r="J382" s="250"/>
    </row>
    <row r="383">
      <c r="I383" s="256"/>
      <c r="J383" s="250"/>
    </row>
    <row r="384">
      <c r="I384" s="256"/>
      <c r="J384" s="250"/>
    </row>
    <row r="385">
      <c r="I385" s="256"/>
      <c r="J385" s="250"/>
    </row>
    <row r="386">
      <c r="I386" s="256"/>
      <c r="J386" s="250"/>
    </row>
    <row r="387">
      <c r="I387" s="256"/>
      <c r="J387" s="250"/>
    </row>
    <row r="388">
      <c r="I388" s="256"/>
      <c r="J388" s="250"/>
    </row>
    <row r="389">
      <c r="I389" s="256"/>
      <c r="J389" s="250"/>
    </row>
    <row r="390">
      <c r="I390" s="256"/>
      <c r="J390" s="250"/>
    </row>
    <row r="391">
      <c r="I391" s="256"/>
      <c r="J391" s="250"/>
    </row>
    <row r="392">
      <c r="I392" s="256"/>
      <c r="J392" s="250"/>
    </row>
    <row r="393">
      <c r="I393" s="256"/>
      <c r="J393" s="250"/>
    </row>
    <row r="394">
      <c r="I394" s="256"/>
      <c r="J394" s="250"/>
    </row>
    <row r="395">
      <c r="I395" s="256"/>
      <c r="J395" s="250"/>
    </row>
    <row r="396">
      <c r="I396" s="256"/>
      <c r="J396" s="250"/>
    </row>
    <row r="397">
      <c r="I397" s="256"/>
      <c r="J397" s="250"/>
    </row>
    <row r="398">
      <c r="I398" s="256"/>
      <c r="J398" s="250"/>
    </row>
    <row r="399">
      <c r="I399" s="256"/>
      <c r="J399" s="250"/>
    </row>
    <row r="400">
      <c r="I400" s="256"/>
      <c r="J400" s="250"/>
    </row>
    <row r="401">
      <c r="I401" s="256"/>
      <c r="J401" s="250"/>
    </row>
    <row r="402">
      <c r="I402" s="256"/>
      <c r="J402" s="250"/>
    </row>
    <row r="403">
      <c r="I403" s="256"/>
      <c r="J403" s="250"/>
    </row>
    <row r="404">
      <c r="I404" s="256"/>
      <c r="J404" s="250"/>
    </row>
    <row r="405">
      <c r="I405" s="256"/>
      <c r="J405" s="250"/>
    </row>
    <row r="406">
      <c r="I406" s="256"/>
      <c r="J406" s="250"/>
    </row>
    <row r="407">
      <c r="I407" s="256"/>
      <c r="J407" s="250"/>
    </row>
    <row r="408">
      <c r="I408" s="256"/>
      <c r="J408" s="250"/>
    </row>
    <row r="409">
      <c r="I409" s="256"/>
      <c r="J409" s="250"/>
    </row>
    <row r="410">
      <c r="I410" s="256"/>
      <c r="J410" s="250"/>
    </row>
    <row r="411">
      <c r="I411" s="256"/>
      <c r="J411" s="250"/>
    </row>
    <row r="412">
      <c r="I412" s="256"/>
      <c r="J412" s="250"/>
    </row>
    <row r="413">
      <c r="I413" s="256"/>
      <c r="J413" s="250"/>
    </row>
    <row r="414">
      <c r="I414" s="256"/>
      <c r="J414" s="250"/>
    </row>
    <row r="415">
      <c r="I415" s="256"/>
      <c r="J415" s="250"/>
    </row>
    <row r="416">
      <c r="I416" s="256"/>
      <c r="J416" s="250"/>
    </row>
    <row r="417">
      <c r="I417" s="256"/>
      <c r="J417" s="250"/>
    </row>
    <row r="418">
      <c r="I418" s="256"/>
      <c r="J418" s="250"/>
    </row>
    <row r="419">
      <c r="I419" s="256"/>
      <c r="J419" s="250"/>
    </row>
    <row r="420">
      <c r="I420" s="256"/>
      <c r="J420" s="250"/>
    </row>
    <row r="421">
      <c r="I421" s="256"/>
      <c r="J421" s="250"/>
    </row>
    <row r="422">
      <c r="I422" s="256"/>
      <c r="J422" s="250"/>
    </row>
    <row r="423">
      <c r="I423" s="256"/>
      <c r="J423" s="250"/>
    </row>
    <row r="424">
      <c r="I424" s="256"/>
      <c r="J424" s="250"/>
    </row>
    <row r="425">
      <c r="I425" s="256"/>
      <c r="J425" s="250"/>
    </row>
    <row r="426">
      <c r="I426" s="256"/>
      <c r="J426" s="250"/>
    </row>
    <row r="427">
      <c r="I427" s="256"/>
      <c r="J427" s="250"/>
    </row>
    <row r="428">
      <c r="I428" s="256"/>
      <c r="J428" s="250"/>
    </row>
    <row r="429">
      <c r="I429" s="256"/>
      <c r="J429" s="250"/>
    </row>
    <row r="430">
      <c r="I430" s="256"/>
      <c r="J430" s="250"/>
    </row>
    <row r="431">
      <c r="I431" s="256"/>
      <c r="J431" s="250"/>
    </row>
    <row r="432">
      <c r="I432" s="256"/>
      <c r="J432" s="250"/>
    </row>
    <row r="433">
      <c r="I433" s="256"/>
      <c r="J433" s="250"/>
    </row>
    <row r="434">
      <c r="I434" s="256"/>
      <c r="J434" s="250"/>
    </row>
    <row r="435">
      <c r="I435" s="256"/>
      <c r="J435" s="250"/>
    </row>
    <row r="436">
      <c r="I436" s="256"/>
      <c r="J436" s="250"/>
    </row>
    <row r="437">
      <c r="I437" s="256"/>
      <c r="J437" s="250"/>
    </row>
    <row r="438">
      <c r="I438" s="256"/>
      <c r="J438" s="250"/>
    </row>
    <row r="439">
      <c r="I439" s="256"/>
      <c r="J439" s="250"/>
    </row>
    <row r="440">
      <c r="I440" s="256"/>
      <c r="J440" s="250"/>
    </row>
    <row r="441">
      <c r="I441" s="256"/>
      <c r="J441" s="250"/>
    </row>
    <row r="442">
      <c r="I442" s="256"/>
      <c r="J442" s="250"/>
    </row>
    <row r="443">
      <c r="I443" s="256"/>
      <c r="J443" s="250"/>
    </row>
    <row r="444">
      <c r="I444" s="256"/>
      <c r="J444" s="250"/>
    </row>
    <row r="445">
      <c r="I445" s="256"/>
      <c r="J445" s="250"/>
    </row>
    <row r="446">
      <c r="I446" s="256"/>
      <c r="J446" s="250"/>
    </row>
    <row r="447">
      <c r="I447" s="256"/>
      <c r="J447" s="250"/>
    </row>
    <row r="448">
      <c r="I448" s="256"/>
      <c r="J448" s="250"/>
    </row>
    <row r="449">
      <c r="I449" s="256"/>
      <c r="J449" s="250"/>
    </row>
    <row r="450">
      <c r="I450" s="256"/>
      <c r="J450" s="250"/>
    </row>
    <row r="451">
      <c r="I451" s="256"/>
      <c r="J451" s="250"/>
    </row>
    <row r="452">
      <c r="I452" s="256"/>
      <c r="J452" s="250"/>
    </row>
    <row r="453">
      <c r="I453" s="256"/>
      <c r="J453" s="250"/>
    </row>
    <row r="454">
      <c r="I454" s="256"/>
      <c r="J454" s="250"/>
    </row>
    <row r="455">
      <c r="I455" s="256"/>
      <c r="J455" s="250"/>
    </row>
    <row r="456">
      <c r="I456" s="256"/>
      <c r="J456" s="250"/>
    </row>
    <row r="457">
      <c r="I457" s="256"/>
      <c r="J457" s="250"/>
    </row>
    <row r="458">
      <c r="I458" s="256"/>
      <c r="J458" s="250"/>
    </row>
    <row r="459">
      <c r="I459" s="256"/>
      <c r="J459" s="250"/>
    </row>
    <row r="460">
      <c r="I460" s="256"/>
      <c r="J460" s="250"/>
    </row>
    <row r="461">
      <c r="I461" s="256"/>
      <c r="J461" s="250"/>
    </row>
    <row r="462">
      <c r="I462" s="256"/>
      <c r="J462" s="250"/>
    </row>
    <row r="463">
      <c r="I463" s="256"/>
      <c r="J463" s="250"/>
    </row>
    <row r="464">
      <c r="I464" s="256"/>
      <c r="J464" s="250"/>
    </row>
    <row r="465">
      <c r="I465" s="256"/>
      <c r="J465" s="250"/>
    </row>
    <row r="466">
      <c r="I466" s="256"/>
      <c r="J466" s="250"/>
    </row>
    <row r="467">
      <c r="I467" s="256"/>
      <c r="J467" s="250"/>
    </row>
    <row r="468">
      <c r="I468" s="256"/>
      <c r="J468" s="250"/>
    </row>
    <row r="469">
      <c r="I469" s="256"/>
      <c r="J469" s="250"/>
    </row>
    <row r="470">
      <c r="I470" s="256"/>
      <c r="J470" s="250"/>
    </row>
    <row r="471">
      <c r="I471" s="256"/>
      <c r="J471" s="250"/>
    </row>
    <row r="472">
      <c r="I472" s="256"/>
      <c r="J472" s="250"/>
    </row>
    <row r="473">
      <c r="I473" s="256"/>
      <c r="J473" s="250"/>
    </row>
    <row r="474">
      <c r="I474" s="256"/>
      <c r="J474" s="250"/>
    </row>
    <row r="475">
      <c r="I475" s="256"/>
      <c r="J475" s="250"/>
    </row>
    <row r="476">
      <c r="I476" s="256"/>
      <c r="J476" s="250"/>
    </row>
    <row r="477">
      <c r="I477" s="256"/>
      <c r="J477" s="250"/>
    </row>
    <row r="478">
      <c r="I478" s="256"/>
      <c r="J478" s="250"/>
    </row>
    <row r="479">
      <c r="I479" s="256"/>
      <c r="J479" s="250"/>
    </row>
    <row r="480">
      <c r="I480" s="256"/>
      <c r="J480" s="250"/>
    </row>
    <row r="481">
      <c r="I481" s="256"/>
      <c r="J481" s="250"/>
    </row>
    <row r="482">
      <c r="I482" s="256"/>
      <c r="J482" s="250"/>
    </row>
    <row r="483">
      <c r="I483" s="256"/>
      <c r="J483" s="250"/>
    </row>
    <row r="484">
      <c r="I484" s="256"/>
      <c r="J484" s="250"/>
    </row>
    <row r="485">
      <c r="I485" s="256"/>
      <c r="J485" s="250"/>
    </row>
    <row r="486">
      <c r="I486" s="256"/>
      <c r="J486" s="250"/>
    </row>
    <row r="487">
      <c r="I487" s="256"/>
      <c r="J487" s="250"/>
    </row>
    <row r="488">
      <c r="I488" s="256"/>
      <c r="J488" s="250"/>
    </row>
    <row r="489">
      <c r="I489" s="256"/>
      <c r="J489" s="250"/>
    </row>
    <row r="490">
      <c r="I490" s="256"/>
      <c r="J490" s="250"/>
    </row>
    <row r="491">
      <c r="I491" s="256"/>
      <c r="J491" s="250"/>
    </row>
    <row r="492">
      <c r="I492" s="256"/>
      <c r="J492" s="250"/>
    </row>
    <row r="493">
      <c r="I493" s="256"/>
      <c r="J493" s="250"/>
    </row>
    <row r="494">
      <c r="I494" s="256"/>
      <c r="J494" s="250"/>
    </row>
    <row r="495">
      <c r="I495" s="256"/>
      <c r="J495" s="250"/>
    </row>
    <row r="496">
      <c r="I496" s="256"/>
      <c r="J496" s="250"/>
    </row>
    <row r="497">
      <c r="I497" s="256"/>
      <c r="J497" s="250"/>
    </row>
    <row r="498">
      <c r="I498" s="256"/>
      <c r="J498" s="250"/>
    </row>
    <row r="499">
      <c r="I499" s="256"/>
      <c r="J499" s="250"/>
    </row>
    <row r="500">
      <c r="I500" s="256"/>
      <c r="J500" s="250"/>
    </row>
    <row r="501">
      <c r="I501" s="256"/>
      <c r="J501" s="250"/>
    </row>
    <row r="502">
      <c r="I502" s="256"/>
      <c r="J502" s="250"/>
    </row>
    <row r="503">
      <c r="I503" s="256"/>
      <c r="J503" s="250"/>
    </row>
    <row r="504">
      <c r="I504" s="256"/>
      <c r="J504" s="250"/>
    </row>
    <row r="505">
      <c r="I505" s="256"/>
      <c r="J505" s="250"/>
    </row>
    <row r="506">
      <c r="I506" s="256"/>
      <c r="J506" s="250"/>
    </row>
    <row r="507">
      <c r="I507" s="256"/>
      <c r="J507" s="250"/>
    </row>
    <row r="508">
      <c r="I508" s="256"/>
      <c r="J508" s="250"/>
    </row>
    <row r="509">
      <c r="I509" s="256"/>
      <c r="J509" s="250"/>
    </row>
    <row r="510">
      <c r="I510" s="256"/>
      <c r="J510" s="250"/>
    </row>
    <row r="511">
      <c r="I511" s="256"/>
      <c r="J511" s="250"/>
    </row>
    <row r="512">
      <c r="I512" s="256"/>
      <c r="J512" s="250"/>
    </row>
    <row r="513">
      <c r="I513" s="256"/>
      <c r="J513" s="250"/>
    </row>
    <row r="514">
      <c r="I514" s="256"/>
      <c r="J514" s="250"/>
    </row>
    <row r="515">
      <c r="I515" s="256"/>
      <c r="J515" s="250"/>
    </row>
    <row r="516">
      <c r="I516" s="256"/>
      <c r="J516" s="250"/>
    </row>
    <row r="517">
      <c r="I517" s="256"/>
      <c r="J517" s="250"/>
    </row>
    <row r="518">
      <c r="I518" s="256"/>
      <c r="J518" s="250"/>
    </row>
    <row r="519">
      <c r="I519" s="256"/>
      <c r="J519" s="250"/>
    </row>
    <row r="520">
      <c r="I520" s="256"/>
      <c r="J520" s="250"/>
    </row>
    <row r="521">
      <c r="I521" s="256"/>
      <c r="J521" s="250"/>
    </row>
    <row r="522">
      <c r="I522" s="256"/>
      <c r="J522" s="250"/>
    </row>
    <row r="523">
      <c r="I523" s="256"/>
      <c r="J523" s="250"/>
    </row>
    <row r="524">
      <c r="I524" s="256"/>
      <c r="J524" s="250"/>
    </row>
    <row r="525">
      <c r="I525" s="256"/>
      <c r="J525" s="250"/>
    </row>
    <row r="526">
      <c r="I526" s="256"/>
      <c r="J526" s="250"/>
    </row>
    <row r="527">
      <c r="I527" s="256"/>
      <c r="J527" s="250"/>
    </row>
    <row r="528">
      <c r="I528" s="256"/>
      <c r="J528" s="250"/>
    </row>
    <row r="529">
      <c r="I529" s="256"/>
      <c r="J529" s="250"/>
    </row>
    <row r="530">
      <c r="I530" s="256"/>
      <c r="J530" s="250"/>
    </row>
    <row r="531">
      <c r="I531" s="256"/>
      <c r="J531" s="250"/>
    </row>
    <row r="532">
      <c r="I532" s="256"/>
      <c r="J532" s="250"/>
    </row>
    <row r="533">
      <c r="I533" s="256"/>
      <c r="J533" s="250"/>
    </row>
    <row r="534">
      <c r="I534" s="256"/>
      <c r="J534" s="250"/>
    </row>
    <row r="535">
      <c r="I535" s="256"/>
      <c r="J535" s="250"/>
    </row>
    <row r="536">
      <c r="I536" s="256"/>
      <c r="J536" s="250"/>
    </row>
    <row r="537">
      <c r="I537" s="256"/>
      <c r="J537" s="250"/>
    </row>
    <row r="538">
      <c r="I538" s="256"/>
      <c r="J538" s="250"/>
    </row>
    <row r="539">
      <c r="I539" s="256"/>
      <c r="J539" s="250"/>
    </row>
    <row r="540">
      <c r="I540" s="256"/>
      <c r="J540" s="250"/>
    </row>
    <row r="541">
      <c r="I541" s="256"/>
      <c r="J541" s="250"/>
    </row>
    <row r="542">
      <c r="I542" s="256"/>
      <c r="J542" s="250"/>
    </row>
    <row r="543">
      <c r="I543" s="256"/>
      <c r="J543" s="250"/>
    </row>
    <row r="544">
      <c r="I544" s="256"/>
      <c r="J544" s="250"/>
    </row>
    <row r="545">
      <c r="I545" s="256"/>
      <c r="J545" s="250"/>
    </row>
    <row r="546">
      <c r="I546" s="256"/>
      <c r="J546" s="250"/>
    </row>
    <row r="547">
      <c r="I547" s="256"/>
      <c r="J547" s="250"/>
    </row>
    <row r="548">
      <c r="I548" s="256"/>
      <c r="J548" s="250"/>
    </row>
    <row r="549">
      <c r="I549" s="256"/>
      <c r="J549" s="250"/>
    </row>
    <row r="550">
      <c r="I550" s="256"/>
      <c r="J550" s="250"/>
    </row>
    <row r="551">
      <c r="I551" s="256"/>
      <c r="J551" s="250"/>
    </row>
    <row r="552">
      <c r="I552" s="256"/>
      <c r="J552" s="250"/>
    </row>
    <row r="553">
      <c r="I553" s="256"/>
      <c r="J553" s="250"/>
    </row>
    <row r="554">
      <c r="I554" s="256"/>
      <c r="J554" s="250"/>
    </row>
    <row r="555">
      <c r="I555" s="256"/>
      <c r="J555" s="250"/>
    </row>
    <row r="556">
      <c r="I556" s="256"/>
      <c r="J556" s="250"/>
    </row>
    <row r="557">
      <c r="I557" s="256"/>
      <c r="J557" s="250"/>
    </row>
    <row r="558">
      <c r="I558" s="256"/>
      <c r="J558" s="250"/>
    </row>
    <row r="559">
      <c r="I559" s="256"/>
      <c r="J559" s="250"/>
    </row>
    <row r="560">
      <c r="I560" s="256"/>
      <c r="J560" s="250"/>
    </row>
    <row r="561">
      <c r="I561" s="256"/>
      <c r="J561" s="250"/>
    </row>
    <row r="562">
      <c r="I562" s="256"/>
      <c r="J562" s="250"/>
    </row>
    <row r="563">
      <c r="I563" s="256"/>
      <c r="J563" s="250"/>
    </row>
    <row r="564">
      <c r="I564" s="256"/>
      <c r="J564" s="250"/>
    </row>
    <row r="565">
      <c r="I565" s="256"/>
      <c r="J565" s="250"/>
    </row>
    <row r="566">
      <c r="I566" s="256"/>
      <c r="J566" s="250"/>
    </row>
    <row r="567">
      <c r="I567" s="256"/>
      <c r="J567" s="250"/>
    </row>
    <row r="568">
      <c r="I568" s="256"/>
      <c r="J568" s="250"/>
    </row>
    <row r="569">
      <c r="I569" s="256"/>
      <c r="J569" s="250"/>
    </row>
    <row r="570">
      <c r="I570" s="256"/>
      <c r="J570" s="250"/>
    </row>
    <row r="571">
      <c r="I571" s="256"/>
      <c r="J571" s="250"/>
    </row>
    <row r="572">
      <c r="I572" s="256"/>
      <c r="J572" s="250"/>
    </row>
    <row r="573">
      <c r="I573" s="256"/>
      <c r="J573" s="250"/>
    </row>
    <row r="574">
      <c r="I574" s="256"/>
      <c r="J574" s="250"/>
    </row>
    <row r="575">
      <c r="I575" s="256"/>
      <c r="J575" s="250"/>
    </row>
    <row r="576">
      <c r="I576" s="256"/>
      <c r="J576" s="250"/>
    </row>
    <row r="577">
      <c r="I577" s="256"/>
      <c r="J577" s="250"/>
    </row>
    <row r="578">
      <c r="I578" s="256"/>
      <c r="J578" s="250"/>
    </row>
    <row r="579">
      <c r="I579" s="256"/>
      <c r="J579" s="250"/>
    </row>
    <row r="580">
      <c r="I580" s="256"/>
      <c r="J580" s="250"/>
    </row>
    <row r="581">
      <c r="I581" s="256"/>
      <c r="J581" s="250"/>
    </row>
    <row r="582">
      <c r="I582" s="256"/>
      <c r="J582" s="250"/>
    </row>
    <row r="583">
      <c r="I583" s="256"/>
      <c r="J583" s="250"/>
    </row>
    <row r="584">
      <c r="I584" s="256"/>
      <c r="J584" s="250"/>
    </row>
    <row r="585">
      <c r="I585" s="256"/>
      <c r="J585" s="250"/>
    </row>
    <row r="586">
      <c r="I586" s="256"/>
      <c r="J586" s="250"/>
    </row>
    <row r="587">
      <c r="I587" s="256"/>
      <c r="J587" s="250"/>
    </row>
    <row r="588">
      <c r="I588" s="256"/>
      <c r="J588" s="250"/>
    </row>
    <row r="589">
      <c r="I589" s="256"/>
      <c r="J589" s="250"/>
    </row>
    <row r="590">
      <c r="I590" s="256"/>
      <c r="J590" s="250"/>
    </row>
    <row r="591">
      <c r="I591" s="256"/>
      <c r="J591" s="250"/>
    </row>
    <row r="592">
      <c r="I592" s="256"/>
      <c r="J592" s="250"/>
    </row>
    <row r="593">
      <c r="I593" s="256"/>
      <c r="J593" s="250"/>
    </row>
    <row r="594">
      <c r="I594" s="256"/>
      <c r="J594" s="250"/>
    </row>
    <row r="595">
      <c r="I595" s="256"/>
      <c r="J595" s="250"/>
    </row>
    <row r="596">
      <c r="I596" s="256"/>
      <c r="J596" s="250"/>
    </row>
    <row r="597">
      <c r="I597" s="256"/>
      <c r="J597" s="250"/>
    </row>
    <row r="598">
      <c r="I598" s="256"/>
      <c r="J598" s="250"/>
    </row>
    <row r="599">
      <c r="I599" s="256"/>
      <c r="J599" s="250"/>
    </row>
    <row r="600">
      <c r="I600" s="256"/>
      <c r="J600" s="250"/>
    </row>
    <row r="601">
      <c r="I601" s="256"/>
      <c r="J601" s="250"/>
    </row>
    <row r="602">
      <c r="I602" s="256"/>
      <c r="J602" s="250"/>
    </row>
    <row r="603">
      <c r="I603" s="256"/>
      <c r="J603" s="250"/>
    </row>
    <row r="604">
      <c r="I604" s="256"/>
      <c r="J604" s="250"/>
    </row>
    <row r="605">
      <c r="I605" s="256"/>
      <c r="J605" s="250"/>
    </row>
    <row r="606">
      <c r="I606" s="256"/>
      <c r="J606" s="250"/>
    </row>
    <row r="607">
      <c r="I607" s="256"/>
      <c r="J607" s="250"/>
    </row>
    <row r="608">
      <c r="I608" s="256"/>
      <c r="J608" s="250"/>
    </row>
    <row r="609">
      <c r="I609" s="256"/>
      <c r="J609" s="250"/>
    </row>
    <row r="610">
      <c r="I610" s="256"/>
      <c r="J610" s="250"/>
    </row>
    <row r="611">
      <c r="I611" s="256"/>
      <c r="J611" s="250"/>
    </row>
    <row r="612">
      <c r="I612" s="256"/>
      <c r="J612" s="250"/>
    </row>
    <row r="613">
      <c r="I613" s="256"/>
      <c r="J613" s="250"/>
    </row>
    <row r="614">
      <c r="I614" s="256"/>
      <c r="J614" s="250"/>
    </row>
    <row r="615">
      <c r="I615" s="256"/>
      <c r="J615" s="250"/>
    </row>
    <row r="616">
      <c r="I616" s="256"/>
      <c r="J616" s="250"/>
    </row>
    <row r="617">
      <c r="I617" s="256"/>
      <c r="J617" s="250"/>
    </row>
    <row r="618">
      <c r="I618" s="256"/>
      <c r="J618" s="250"/>
    </row>
    <row r="619">
      <c r="I619" s="256"/>
      <c r="J619" s="250"/>
    </row>
    <row r="620">
      <c r="I620" s="256"/>
      <c r="J620" s="250"/>
    </row>
    <row r="621">
      <c r="I621" s="256"/>
      <c r="J621" s="250"/>
    </row>
    <row r="622">
      <c r="I622" s="256"/>
      <c r="J622" s="250"/>
    </row>
    <row r="623">
      <c r="I623" s="256"/>
      <c r="J623" s="250"/>
    </row>
    <row r="624">
      <c r="I624" s="256"/>
      <c r="J624" s="250"/>
    </row>
    <row r="625">
      <c r="I625" s="256"/>
      <c r="J625" s="250"/>
    </row>
    <row r="626">
      <c r="I626" s="256"/>
      <c r="J626" s="250"/>
    </row>
    <row r="627">
      <c r="I627" s="256"/>
      <c r="J627" s="250"/>
    </row>
    <row r="628">
      <c r="I628" s="256"/>
      <c r="J628" s="250"/>
    </row>
    <row r="629">
      <c r="I629" s="256"/>
      <c r="J629" s="250"/>
    </row>
    <row r="630">
      <c r="I630" s="256"/>
      <c r="J630" s="250"/>
    </row>
    <row r="631">
      <c r="I631" s="256"/>
      <c r="J631" s="250"/>
    </row>
    <row r="632">
      <c r="I632" s="256"/>
      <c r="J632" s="250"/>
    </row>
    <row r="633">
      <c r="I633" s="256"/>
      <c r="J633" s="250"/>
    </row>
    <row r="634">
      <c r="I634" s="256"/>
      <c r="J634" s="250"/>
    </row>
    <row r="635">
      <c r="I635" s="256"/>
      <c r="J635" s="250"/>
    </row>
    <row r="636">
      <c r="I636" s="256"/>
      <c r="J636" s="250"/>
    </row>
    <row r="637">
      <c r="I637" s="256"/>
      <c r="J637" s="250"/>
    </row>
    <row r="638">
      <c r="I638" s="256"/>
      <c r="J638" s="250"/>
    </row>
    <row r="639">
      <c r="I639" s="256"/>
      <c r="J639" s="250"/>
    </row>
    <row r="640">
      <c r="I640" s="256"/>
      <c r="J640" s="250"/>
    </row>
    <row r="641">
      <c r="I641" s="256"/>
      <c r="J641" s="250"/>
    </row>
    <row r="642">
      <c r="I642" s="256"/>
      <c r="J642" s="250"/>
    </row>
    <row r="643">
      <c r="I643" s="256"/>
      <c r="J643" s="250"/>
    </row>
    <row r="644">
      <c r="I644" s="256"/>
      <c r="J644" s="250"/>
    </row>
    <row r="645">
      <c r="I645" s="256"/>
      <c r="J645" s="250"/>
    </row>
    <row r="646">
      <c r="I646" s="256"/>
      <c r="J646" s="250"/>
    </row>
    <row r="647">
      <c r="I647" s="256"/>
      <c r="J647" s="250"/>
    </row>
    <row r="648">
      <c r="I648" s="256"/>
      <c r="J648" s="250"/>
    </row>
    <row r="649">
      <c r="I649" s="256"/>
      <c r="J649" s="250"/>
    </row>
    <row r="650">
      <c r="I650" s="256"/>
      <c r="J650" s="250"/>
    </row>
    <row r="651">
      <c r="I651" s="256"/>
      <c r="J651" s="250"/>
    </row>
    <row r="652">
      <c r="I652" s="256"/>
      <c r="J652" s="250"/>
    </row>
    <row r="653">
      <c r="I653" s="256"/>
      <c r="J653" s="250"/>
    </row>
    <row r="654">
      <c r="I654" s="256"/>
      <c r="J654" s="250"/>
    </row>
    <row r="655">
      <c r="I655" s="256"/>
      <c r="J655" s="250"/>
    </row>
    <row r="656">
      <c r="I656" s="256"/>
      <c r="J656" s="250"/>
    </row>
    <row r="657">
      <c r="I657" s="256"/>
      <c r="J657" s="250"/>
    </row>
    <row r="658">
      <c r="I658" s="256"/>
      <c r="J658" s="250"/>
    </row>
    <row r="659">
      <c r="I659" s="256"/>
      <c r="J659" s="250"/>
    </row>
    <row r="660">
      <c r="I660" s="256"/>
      <c r="J660" s="250"/>
    </row>
    <row r="661">
      <c r="I661" s="256"/>
      <c r="J661" s="250"/>
    </row>
    <row r="662">
      <c r="I662" s="256"/>
      <c r="J662" s="250"/>
    </row>
    <row r="663">
      <c r="I663" s="256"/>
      <c r="J663" s="250"/>
    </row>
    <row r="664">
      <c r="I664" s="256"/>
      <c r="J664" s="250"/>
    </row>
    <row r="665">
      <c r="I665" s="256"/>
      <c r="J665" s="250"/>
    </row>
    <row r="666">
      <c r="I666" s="256"/>
      <c r="J666" s="250"/>
    </row>
    <row r="667">
      <c r="I667" s="256"/>
      <c r="J667" s="250"/>
    </row>
    <row r="668">
      <c r="I668" s="256"/>
      <c r="J668" s="250"/>
    </row>
    <row r="669">
      <c r="I669" s="256"/>
      <c r="J669" s="250"/>
    </row>
    <row r="670">
      <c r="I670" s="256"/>
      <c r="J670" s="250"/>
    </row>
    <row r="671">
      <c r="I671" s="256"/>
      <c r="J671" s="250"/>
    </row>
    <row r="672">
      <c r="I672" s="256"/>
      <c r="J672" s="250"/>
    </row>
    <row r="673">
      <c r="I673" s="256"/>
      <c r="J673" s="250"/>
    </row>
    <row r="674">
      <c r="I674" s="256"/>
      <c r="J674" s="250"/>
    </row>
    <row r="675">
      <c r="I675" s="256"/>
      <c r="J675" s="250"/>
    </row>
    <row r="676">
      <c r="I676" s="256"/>
      <c r="J676" s="250"/>
    </row>
    <row r="677">
      <c r="I677" s="256"/>
      <c r="J677" s="250"/>
    </row>
    <row r="678">
      <c r="I678" s="256"/>
      <c r="J678" s="250"/>
    </row>
    <row r="679">
      <c r="I679" s="256"/>
      <c r="J679" s="250"/>
    </row>
    <row r="680">
      <c r="I680" s="256"/>
      <c r="J680" s="250"/>
    </row>
    <row r="681">
      <c r="I681" s="256"/>
      <c r="J681" s="250"/>
    </row>
    <row r="682">
      <c r="I682" s="256"/>
      <c r="J682" s="250"/>
    </row>
    <row r="683">
      <c r="I683" s="256"/>
      <c r="J683" s="250"/>
    </row>
    <row r="684">
      <c r="I684" s="256"/>
      <c r="J684" s="250"/>
    </row>
    <row r="685">
      <c r="I685" s="256"/>
      <c r="J685" s="250"/>
    </row>
    <row r="686">
      <c r="I686" s="256"/>
      <c r="J686" s="250"/>
    </row>
    <row r="687">
      <c r="I687" s="256"/>
      <c r="J687" s="250"/>
    </row>
    <row r="688">
      <c r="I688" s="256"/>
      <c r="J688" s="250"/>
    </row>
    <row r="689">
      <c r="I689" s="256"/>
      <c r="J689" s="250"/>
    </row>
    <row r="690">
      <c r="I690" s="256"/>
      <c r="J690" s="250"/>
    </row>
    <row r="691">
      <c r="I691" s="256"/>
      <c r="J691" s="250"/>
    </row>
    <row r="692">
      <c r="I692" s="256"/>
      <c r="J692" s="250"/>
    </row>
    <row r="693">
      <c r="I693" s="256"/>
      <c r="J693" s="250"/>
    </row>
    <row r="694">
      <c r="I694" s="256"/>
      <c r="J694" s="250"/>
    </row>
    <row r="695">
      <c r="I695" s="256"/>
      <c r="J695" s="250"/>
    </row>
    <row r="696">
      <c r="I696" s="256"/>
      <c r="J696" s="250"/>
    </row>
    <row r="697">
      <c r="I697" s="256"/>
      <c r="J697" s="250"/>
    </row>
    <row r="698">
      <c r="I698" s="256"/>
      <c r="J698" s="250"/>
    </row>
    <row r="699">
      <c r="I699" s="256"/>
      <c r="J699" s="250"/>
    </row>
    <row r="700">
      <c r="I700" s="256"/>
      <c r="J700" s="250"/>
    </row>
    <row r="701">
      <c r="I701" s="256"/>
      <c r="J701" s="250"/>
    </row>
    <row r="702">
      <c r="I702" s="256"/>
      <c r="J702" s="250"/>
    </row>
    <row r="703">
      <c r="I703" s="256"/>
      <c r="J703" s="250"/>
    </row>
    <row r="704">
      <c r="I704" s="256"/>
      <c r="J704" s="250"/>
    </row>
    <row r="705">
      <c r="I705" s="256"/>
      <c r="J705" s="250"/>
    </row>
    <row r="706">
      <c r="I706" s="256"/>
      <c r="J706" s="250"/>
    </row>
    <row r="707">
      <c r="I707" s="256"/>
      <c r="J707" s="250"/>
    </row>
    <row r="708">
      <c r="I708" s="256"/>
      <c r="J708" s="250"/>
    </row>
    <row r="709">
      <c r="I709" s="256"/>
      <c r="J709" s="250"/>
    </row>
    <row r="710">
      <c r="I710" s="256"/>
      <c r="J710" s="250"/>
    </row>
    <row r="711">
      <c r="I711" s="256"/>
      <c r="J711" s="250"/>
    </row>
    <row r="712">
      <c r="I712" s="256"/>
      <c r="J712" s="250"/>
    </row>
    <row r="713">
      <c r="I713" s="256"/>
      <c r="J713" s="250"/>
    </row>
    <row r="714">
      <c r="I714" s="256"/>
      <c r="J714" s="250"/>
    </row>
    <row r="715">
      <c r="I715" s="256"/>
      <c r="J715" s="250"/>
    </row>
    <row r="716">
      <c r="I716" s="256"/>
      <c r="J716" s="250"/>
    </row>
    <row r="717">
      <c r="I717" s="256"/>
      <c r="J717" s="250"/>
    </row>
    <row r="718">
      <c r="I718" s="256"/>
      <c r="J718" s="250"/>
    </row>
    <row r="719">
      <c r="I719" s="256"/>
      <c r="J719" s="250"/>
    </row>
    <row r="720">
      <c r="I720" s="256"/>
      <c r="J720" s="250"/>
    </row>
    <row r="721">
      <c r="I721" s="256"/>
      <c r="J721" s="250"/>
    </row>
    <row r="722">
      <c r="I722" s="256"/>
      <c r="J722" s="250"/>
    </row>
    <row r="723">
      <c r="I723" s="256"/>
      <c r="J723" s="250"/>
    </row>
    <row r="724">
      <c r="I724" s="256"/>
      <c r="J724" s="250"/>
    </row>
    <row r="725">
      <c r="I725" s="256"/>
      <c r="J725" s="250"/>
    </row>
    <row r="726">
      <c r="I726" s="256"/>
      <c r="J726" s="250"/>
    </row>
    <row r="727">
      <c r="I727" s="256"/>
      <c r="J727" s="250"/>
    </row>
    <row r="728">
      <c r="I728" s="256"/>
      <c r="J728" s="250"/>
    </row>
    <row r="729">
      <c r="I729" s="256"/>
      <c r="J729" s="250"/>
    </row>
    <row r="730">
      <c r="I730" s="256"/>
      <c r="J730" s="250"/>
    </row>
    <row r="731">
      <c r="I731" s="256"/>
      <c r="J731" s="250"/>
    </row>
    <row r="732">
      <c r="I732" s="256"/>
      <c r="J732" s="250"/>
    </row>
    <row r="733">
      <c r="I733" s="256"/>
      <c r="J733" s="250"/>
    </row>
    <row r="734">
      <c r="I734" s="256"/>
      <c r="J734" s="250"/>
    </row>
    <row r="735">
      <c r="I735" s="256"/>
      <c r="J735" s="250"/>
    </row>
    <row r="736">
      <c r="I736" s="256"/>
      <c r="J736" s="250"/>
    </row>
    <row r="737">
      <c r="I737" s="256"/>
      <c r="J737" s="250"/>
    </row>
    <row r="738">
      <c r="I738" s="256"/>
      <c r="J738" s="250"/>
    </row>
    <row r="739">
      <c r="I739" s="256"/>
      <c r="J739" s="250"/>
    </row>
    <row r="740">
      <c r="I740" s="256"/>
      <c r="J740" s="250"/>
    </row>
    <row r="741">
      <c r="I741" s="256"/>
      <c r="J741" s="250"/>
    </row>
    <row r="742">
      <c r="I742" s="256"/>
      <c r="J742" s="250"/>
    </row>
    <row r="743">
      <c r="I743" s="256"/>
      <c r="J743" s="250"/>
    </row>
    <row r="744">
      <c r="I744" s="256"/>
      <c r="J744" s="250"/>
    </row>
    <row r="745">
      <c r="I745" s="256"/>
      <c r="J745" s="250"/>
    </row>
    <row r="746">
      <c r="I746" s="256"/>
      <c r="J746" s="250"/>
    </row>
    <row r="747">
      <c r="I747" s="256"/>
      <c r="J747" s="250"/>
    </row>
    <row r="748">
      <c r="I748" s="256"/>
      <c r="J748" s="250"/>
    </row>
    <row r="749">
      <c r="I749" s="256"/>
      <c r="J749" s="250"/>
    </row>
    <row r="750">
      <c r="I750" s="256"/>
      <c r="J750" s="250"/>
    </row>
    <row r="751">
      <c r="I751" s="256"/>
      <c r="J751" s="250"/>
    </row>
    <row r="752">
      <c r="I752" s="256"/>
      <c r="J752" s="250"/>
    </row>
    <row r="753">
      <c r="I753" s="256"/>
      <c r="J753" s="250"/>
    </row>
    <row r="754">
      <c r="I754" s="256"/>
      <c r="J754" s="250"/>
    </row>
    <row r="755">
      <c r="I755" s="256"/>
      <c r="J755" s="250"/>
    </row>
    <row r="756">
      <c r="I756" s="256"/>
      <c r="J756" s="250"/>
    </row>
    <row r="757">
      <c r="I757" s="256"/>
      <c r="J757" s="250"/>
    </row>
    <row r="758">
      <c r="I758" s="256"/>
      <c r="J758" s="250"/>
    </row>
    <row r="759">
      <c r="I759" s="256"/>
      <c r="J759" s="250"/>
    </row>
    <row r="760">
      <c r="I760" s="256"/>
      <c r="J760" s="250"/>
    </row>
    <row r="761">
      <c r="I761" s="256"/>
      <c r="J761" s="250"/>
    </row>
    <row r="762">
      <c r="I762" s="256"/>
      <c r="J762" s="250"/>
    </row>
    <row r="763">
      <c r="I763" s="256"/>
      <c r="J763" s="250"/>
    </row>
    <row r="764">
      <c r="I764" s="256"/>
      <c r="J764" s="250"/>
    </row>
    <row r="765">
      <c r="I765" s="256"/>
      <c r="J765" s="250"/>
    </row>
    <row r="766">
      <c r="I766" s="256"/>
      <c r="J766" s="250"/>
    </row>
    <row r="767">
      <c r="I767" s="256"/>
      <c r="J767" s="250"/>
    </row>
    <row r="768">
      <c r="I768" s="256"/>
      <c r="J768" s="250"/>
    </row>
    <row r="769">
      <c r="I769" s="256"/>
      <c r="J769" s="250"/>
    </row>
    <row r="770">
      <c r="I770" s="256"/>
      <c r="J770" s="250"/>
    </row>
    <row r="771">
      <c r="I771" s="256"/>
      <c r="J771" s="250"/>
    </row>
    <row r="772">
      <c r="I772" s="256"/>
      <c r="J772" s="250"/>
    </row>
    <row r="773">
      <c r="I773" s="256"/>
      <c r="J773" s="250"/>
    </row>
    <row r="774">
      <c r="I774" s="256"/>
      <c r="J774" s="250"/>
    </row>
    <row r="775">
      <c r="I775" s="256"/>
      <c r="J775" s="250"/>
    </row>
    <row r="776">
      <c r="I776" s="256"/>
      <c r="J776" s="250"/>
    </row>
    <row r="777">
      <c r="I777" s="256"/>
      <c r="J777" s="250"/>
    </row>
    <row r="778">
      <c r="I778" s="256"/>
      <c r="J778" s="250"/>
    </row>
    <row r="779">
      <c r="I779" s="256"/>
      <c r="J779" s="250"/>
    </row>
    <row r="780">
      <c r="I780" s="256"/>
      <c r="J780" s="250"/>
    </row>
    <row r="781">
      <c r="I781" s="256"/>
      <c r="J781" s="250"/>
    </row>
    <row r="782">
      <c r="I782" s="256"/>
      <c r="J782" s="250"/>
    </row>
    <row r="783">
      <c r="I783" s="256"/>
      <c r="J783" s="250"/>
    </row>
    <row r="784">
      <c r="I784" s="256"/>
      <c r="J784" s="250"/>
    </row>
    <row r="785">
      <c r="I785" s="256"/>
      <c r="J785" s="250"/>
    </row>
    <row r="786">
      <c r="I786" s="256"/>
      <c r="J786" s="250"/>
    </row>
    <row r="787">
      <c r="I787" s="256"/>
      <c r="J787" s="250"/>
    </row>
    <row r="788">
      <c r="I788" s="256"/>
      <c r="J788" s="250"/>
    </row>
    <row r="789">
      <c r="I789" s="256"/>
      <c r="J789" s="250"/>
    </row>
    <row r="790">
      <c r="I790" s="256"/>
      <c r="J790" s="250"/>
    </row>
    <row r="791">
      <c r="I791" s="256"/>
      <c r="J791" s="250"/>
    </row>
    <row r="792">
      <c r="I792" s="256"/>
      <c r="J792" s="250"/>
    </row>
    <row r="793">
      <c r="I793" s="256"/>
      <c r="J793" s="250"/>
    </row>
    <row r="794">
      <c r="I794" s="256"/>
      <c r="J794" s="250"/>
    </row>
    <row r="795">
      <c r="I795" s="256"/>
      <c r="J795" s="250"/>
    </row>
    <row r="796">
      <c r="I796" s="256"/>
      <c r="J796" s="250"/>
    </row>
    <row r="797">
      <c r="I797" s="256"/>
      <c r="J797" s="250"/>
    </row>
    <row r="798">
      <c r="I798" s="256"/>
      <c r="J798" s="250"/>
    </row>
    <row r="799">
      <c r="I799" s="256"/>
      <c r="J799" s="250"/>
    </row>
    <row r="800">
      <c r="I800" s="256"/>
      <c r="J800" s="250"/>
    </row>
    <row r="801">
      <c r="I801" s="256"/>
      <c r="J801" s="250"/>
    </row>
    <row r="802">
      <c r="I802" s="256"/>
      <c r="J802" s="250"/>
    </row>
    <row r="803">
      <c r="I803" s="256"/>
      <c r="J803" s="250"/>
    </row>
    <row r="804">
      <c r="I804" s="256"/>
      <c r="J804" s="250"/>
    </row>
    <row r="805">
      <c r="I805" s="256"/>
      <c r="J805" s="250"/>
    </row>
    <row r="806">
      <c r="I806" s="256"/>
      <c r="J806" s="250"/>
    </row>
    <row r="807">
      <c r="I807" s="256"/>
      <c r="J807" s="250"/>
    </row>
    <row r="808">
      <c r="I808" s="256"/>
      <c r="J808" s="250"/>
    </row>
    <row r="809">
      <c r="I809" s="256"/>
      <c r="J809" s="250"/>
    </row>
    <row r="810">
      <c r="I810" s="256"/>
      <c r="J810" s="250"/>
    </row>
    <row r="811">
      <c r="I811" s="256"/>
      <c r="J811" s="250"/>
    </row>
    <row r="812">
      <c r="I812" s="256"/>
      <c r="J812" s="250"/>
    </row>
    <row r="813">
      <c r="I813" s="256"/>
      <c r="J813" s="250"/>
    </row>
    <row r="814">
      <c r="I814" s="256"/>
      <c r="J814" s="250"/>
    </row>
    <row r="815">
      <c r="I815" s="256"/>
      <c r="J815" s="250"/>
    </row>
    <row r="816">
      <c r="I816" s="256"/>
      <c r="J816" s="250"/>
    </row>
    <row r="817">
      <c r="I817" s="256"/>
      <c r="J817" s="250"/>
    </row>
    <row r="818">
      <c r="I818" s="256"/>
      <c r="J818" s="250"/>
    </row>
    <row r="819">
      <c r="I819" s="256"/>
      <c r="J819" s="250"/>
    </row>
    <row r="820">
      <c r="I820" s="256"/>
      <c r="J820" s="250"/>
    </row>
    <row r="821">
      <c r="I821" s="256"/>
      <c r="J821" s="250"/>
    </row>
    <row r="822">
      <c r="I822" s="256"/>
      <c r="J822" s="250"/>
    </row>
    <row r="823">
      <c r="I823" s="256"/>
      <c r="J823" s="250"/>
    </row>
    <row r="824">
      <c r="I824" s="256"/>
      <c r="J824" s="250"/>
    </row>
    <row r="825">
      <c r="I825" s="256"/>
      <c r="J825" s="250"/>
    </row>
    <row r="826">
      <c r="I826" s="256"/>
      <c r="J826" s="250"/>
    </row>
    <row r="827">
      <c r="I827" s="256"/>
      <c r="J827" s="250"/>
    </row>
    <row r="828">
      <c r="I828" s="256"/>
      <c r="J828" s="250"/>
    </row>
    <row r="829">
      <c r="I829" s="256"/>
      <c r="J829" s="250"/>
    </row>
    <row r="830">
      <c r="I830" s="256"/>
      <c r="J830" s="250"/>
    </row>
    <row r="831">
      <c r="I831" s="256"/>
      <c r="J831" s="250"/>
    </row>
    <row r="832">
      <c r="I832" s="256"/>
      <c r="J832" s="250"/>
    </row>
    <row r="833">
      <c r="I833" s="256"/>
      <c r="J833" s="250"/>
    </row>
    <row r="834">
      <c r="I834" s="256"/>
      <c r="J834" s="250"/>
    </row>
    <row r="835">
      <c r="I835" s="256"/>
      <c r="J835" s="250"/>
    </row>
    <row r="836">
      <c r="I836" s="256"/>
      <c r="J836" s="250"/>
    </row>
    <row r="837">
      <c r="I837" s="256"/>
      <c r="J837" s="250"/>
    </row>
    <row r="838">
      <c r="I838" s="256"/>
      <c r="J838" s="250"/>
    </row>
    <row r="839">
      <c r="I839" s="256"/>
      <c r="J839" s="250"/>
    </row>
    <row r="840">
      <c r="I840" s="256"/>
      <c r="J840" s="250"/>
    </row>
    <row r="841">
      <c r="I841" s="256"/>
      <c r="J841" s="250"/>
    </row>
    <row r="842">
      <c r="I842" s="256"/>
      <c r="J842" s="250"/>
    </row>
    <row r="843">
      <c r="I843" s="256"/>
      <c r="J843" s="250"/>
    </row>
    <row r="844">
      <c r="I844" s="256"/>
      <c r="J844" s="250"/>
    </row>
    <row r="845">
      <c r="I845" s="256"/>
      <c r="J845" s="250"/>
    </row>
    <row r="846">
      <c r="I846" s="256"/>
      <c r="J846" s="250"/>
    </row>
    <row r="847">
      <c r="I847" s="256"/>
      <c r="J847" s="250"/>
    </row>
    <row r="848">
      <c r="I848" s="256"/>
      <c r="J848" s="250"/>
    </row>
    <row r="849">
      <c r="I849" s="256"/>
      <c r="J849" s="250"/>
    </row>
    <row r="850">
      <c r="I850" s="256"/>
      <c r="J850" s="250"/>
    </row>
    <row r="851">
      <c r="I851" s="256"/>
      <c r="J851" s="250"/>
    </row>
    <row r="852">
      <c r="I852" s="256"/>
      <c r="J852" s="250"/>
    </row>
    <row r="853">
      <c r="I853" s="256"/>
      <c r="J853" s="250"/>
    </row>
    <row r="854">
      <c r="I854" s="256"/>
      <c r="J854" s="250"/>
    </row>
    <row r="855">
      <c r="I855" s="256"/>
      <c r="J855" s="250"/>
    </row>
    <row r="856">
      <c r="I856" s="256"/>
      <c r="J856" s="250"/>
    </row>
    <row r="857">
      <c r="I857" s="256"/>
      <c r="J857" s="250"/>
    </row>
    <row r="858">
      <c r="I858" s="256"/>
      <c r="J858" s="250"/>
    </row>
    <row r="859">
      <c r="I859" s="256"/>
      <c r="J859" s="250"/>
    </row>
    <row r="860">
      <c r="I860" s="256"/>
      <c r="J860" s="250"/>
    </row>
    <row r="861">
      <c r="I861" s="256"/>
      <c r="J861" s="250"/>
    </row>
    <row r="862">
      <c r="I862" s="256"/>
      <c r="J862" s="250"/>
    </row>
    <row r="863">
      <c r="I863" s="256"/>
      <c r="J863" s="250"/>
    </row>
    <row r="864">
      <c r="I864" s="256"/>
      <c r="J864" s="250"/>
    </row>
    <row r="865">
      <c r="I865" s="256"/>
      <c r="J865" s="250"/>
    </row>
    <row r="866">
      <c r="I866" s="256"/>
      <c r="J866" s="250"/>
    </row>
    <row r="867">
      <c r="I867" s="256"/>
      <c r="J867" s="250"/>
    </row>
    <row r="868">
      <c r="I868" s="256"/>
      <c r="J868" s="250"/>
    </row>
    <row r="869">
      <c r="I869" s="256"/>
      <c r="J869" s="250"/>
    </row>
    <row r="870">
      <c r="I870" s="256"/>
      <c r="J870" s="250"/>
    </row>
    <row r="871">
      <c r="I871" s="256"/>
      <c r="J871" s="250"/>
    </row>
    <row r="872">
      <c r="I872" s="256"/>
      <c r="J872" s="250"/>
    </row>
    <row r="873">
      <c r="I873" s="256"/>
      <c r="J873" s="250"/>
    </row>
    <row r="874">
      <c r="I874" s="256"/>
      <c r="J874" s="250"/>
    </row>
    <row r="875">
      <c r="I875" s="256"/>
      <c r="J875" s="250"/>
    </row>
    <row r="876">
      <c r="I876" s="256"/>
      <c r="J876" s="250"/>
    </row>
    <row r="877">
      <c r="I877" s="256"/>
      <c r="J877" s="250"/>
    </row>
    <row r="878">
      <c r="I878" s="256"/>
      <c r="J878" s="250"/>
    </row>
    <row r="879">
      <c r="I879" s="256"/>
      <c r="J879" s="250"/>
    </row>
    <row r="880">
      <c r="I880" s="256"/>
      <c r="J880" s="250"/>
    </row>
    <row r="881">
      <c r="I881" s="256"/>
      <c r="J881" s="250"/>
    </row>
    <row r="882">
      <c r="I882" s="256"/>
      <c r="J882" s="250"/>
    </row>
    <row r="883">
      <c r="I883" s="256"/>
      <c r="J883" s="250"/>
    </row>
    <row r="884">
      <c r="I884" s="256"/>
      <c r="J884" s="250"/>
    </row>
    <row r="885">
      <c r="I885" s="256"/>
      <c r="J885" s="250"/>
    </row>
    <row r="886">
      <c r="I886" s="256"/>
      <c r="J886" s="250"/>
    </row>
    <row r="887">
      <c r="I887" s="256"/>
      <c r="J887" s="250"/>
    </row>
    <row r="888">
      <c r="I888" s="256"/>
      <c r="J888" s="250"/>
    </row>
    <row r="889">
      <c r="I889" s="256"/>
      <c r="J889" s="250"/>
    </row>
    <row r="890">
      <c r="I890" s="256"/>
      <c r="J890" s="250"/>
    </row>
    <row r="891">
      <c r="I891" s="256"/>
      <c r="J891" s="250"/>
    </row>
    <row r="892">
      <c r="I892" s="256"/>
      <c r="J892" s="250"/>
    </row>
    <row r="893">
      <c r="I893" s="256"/>
      <c r="J893" s="250"/>
    </row>
    <row r="894">
      <c r="I894" s="256"/>
      <c r="J894" s="250"/>
    </row>
    <row r="895">
      <c r="I895" s="256"/>
      <c r="J895" s="250"/>
    </row>
    <row r="896">
      <c r="I896" s="256"/>
      <c r="J896" s="250"/>
    </row>
    <row r="897">
      <c r="I897" s="256"/>
      <c r="J897" s="250"/>
    </row>
    <row r="898">
      <c r="I898" s="256"/>
      <c r="J898" s="250"/>
    </row>
    <row r="899">
      <c r="I899" s="256"/>
      <c r="J899" s="250"/>
    </row>
    <row r="900">
      <c r="I900" s="256"/>
      <c r="J900" s="250"/>
    </row>
    <row r="901">
      <c r="I901" s="256"/>
      <c r="J901" s="250"/>
    </row>
    <row r="902">
      <c r="I902" s="256"/>
      <c r="J902" s="250"/>
    </row>
    <row r="903">
      <c r="I903" s="256"/>
      <c r="J903" s="250"/>
    </row>
    <row r="904">
      <c r="I904" s="256"/>
      <c r="J904" s="250"/>
    </row>
    <row r="905">
      <c r="I905" s="256"/>
      <c r="J905" s="250"/>
    </row>
    <row r="906">
      <c r="I906" s="256"/>
      <c r="J906" s="250"/>
    </row>
    <row r="907">
      <c r="I907" s="256"/>
      <c r="J907" s="250"/>
    </row>
    <row r="908">
      <c r="I908" s="256"/>
      <c r="J908" s="250"/>
    </row>
    <row r="909">
      <c r="I909" s="256"/>
      <c r="J909" s="250"/>
    </row>
    <row r="910">
      <c r="I910" s="256"/>
      <c r="J910" s="250"/>
    </row>
    <row r="911">
      <c r="I911" s="256"/>
      <c r="J911" s="250"/>
    </row>
    <row r="912">
      <c r="I912" s="256"/>
      <c r="J912" s="250"/>
    </row>
    <row r="913">
      <c r="I913" s="256"/>
      <c r="J913" s="250"/>
    </row>
    <row r="914">
      <c r="I914" s="256"/>
      <c r="J914" s="250"/>
    </row>
    <row r="915">
      <c r="I915" s="256"/>
      <c r="J915" s="250"/>
    </row>
    <row r="916">
      <c r="I916" s="256"/>
      <c r="J916" s="250"/>
    </row>
    <row r="917">
      <c r="I917" s="256"/>
      <c r="J917" s="250"/>
    </row>
    <row r="918">
      <c r="I918" s="256"/>
      <c r="J918" s="250"/>
    </row>
    <row r="919">
      <c r="I919" s="256"/>
      <c r="J919" s="250"/>
    </row>
    <row r="920">
      <c r="I920" s="256"/>
      <c r="J920" s="250"/>
    </row>
    <row r="921">
      <c r="I921" s="256"/>
      <c r="J921" s="250"/>
    </row>
    <row r="922">
      <c r="I922" s="256"/>
      <c r="J922" s="250"/>
    </row>
    <row r="923">
      <c r="I923" s="256"/>
      <c r="J923" s="250"/>
    </row>
    <row r="924">
      <c r="I924" s="256"/>
      <c r="J924" s="250"/>
    </row>
    <row r="925">
      <c r="I925" s="256"/>
      <c r="J925" s="250"/>
    </row>
    <row r="926">
      <c r="I926" s="256"/>
      <c r="J926" s="250"/>
    </row>
    <row r="927">
      <c r="I927" s="256"/>
      <c r="J927" s="250"/>
    </row>
    <row r="928">
      <c r="I928" s="256"/>
      <c r="J928" s="250"/>
    </row>
    <row r="929">
      <c r="I929" s="256"/>
      <c r="J929" s="250"/>
    </row>
    <row r="930">
      <c r="I930" s="256"/>
      <c r="J930" s="250"/>
    </row>
    <row r="931">
      <c r="I931" s="256"/>
      <c r="J931" s="250"/>
    </row>
    <row r="932">
      <c r="I932" s="256"/>
      <c r="J932" s="250"/>
    </row>
    <row r="933">
      <c r="I933" s="256"/>
      <c r="J933" s="250"/>
    </row>
    <row r="934">
      <c r="I934" s="256"/>
      <c r="J934" s="250"/>
    </row>
    <row r="935">
      <c r="I935" s="256"/>
      <c r="J935" s="250"/>
    </row>
    <row r="936">
      <c r="I936" s="256"/>
      <c r="J936" s="250"/>
    </row>
    <row r="937">
      <c r="I937" s="256"/>
      <c r="J937" s="250"/>
    </row>
    <row r="938">
      <c r="I938" s="256"/>
      <c r="J938" s="250"/>
    </row>
    <row r="939">
      <c r="I939" s="256"/>
      <c r="J939" s="250"/>
    </row>
    <row r="940">
      <c r="I940" s="256"/>
      <c r="J940" s="250"/>
    </row>
    <row r="941">
      <c r="I941" s="256"/>
      <c r="J941" s="250"/>
    </row>
    <row r="942">
      <c r="I942" s="256"/>
      <c r="J942" s="250"/>
    </row>
    <row r="943">
      <c r="I943" s="256"/>
      <c r="J943" s="250"/>
    </row>
    <row r="944">
      <c r="I944" s="256"/>
      <c r="J944" s="250"/>
    </row>
    <row r="945">
      <c r="I945" s="256"/>
      <c r="J945" s="250"/>
    </row>
    <row r="946">
      <c r="I946" s="256"/>
      <c r="J946" s="250"/>
    </row>
    <row r="947">
      <c r="I947" s="256"/>
      <c r="J947" s="250"/>
    </row>
    <row r="948">
      <c r="I948" s="256"/>
      <c r="J948" s="250"/>
    </row>
    <row r="949">
      <c r="I949" s="256"/>
      <c r="J949" s="250"/>
    </row>
    <row r="950">
      <c r="I950" s="256"/>
      <c r="J950" s="250"/>
    </row>
    <row r="951">
      <c r="I951" s="256"/>
      <c r="J951" s="250"/>
    </row>
    <row r="952">
      <c r="I952" s="256"/>
      <c r="J952" s="250"/>
    </row>
    <row r="953">
      <c r="I953" s="256"/>
      <c r="J953" s="250"/>
    </row>
    <row r="954">
      <c r="I954" s="256"/>
      <c r="J954" s="250"/>
    </row>
    <row r="955">
      <c r="I955" s="256"/>
      <c r="J955" s="250"/>
    </row>
    <row r="956">
      <c r="I956" s="256"/>
      <c r="J956" s="250"/>
    </row>
    <row r="957">
      <c r="I957" s="256"/>
      <c r="J957" s="250"/>
    </row>
    <row r="958">
      <c r="I958" s="256"/>
      <c r="J958" s="250"/>
    </row>
    <row r="959">
      <c r="I959" s="256"/>
      <c r="J959" s="250"/>
    </row>
    <row r="960">
      <c r="I960" s="256"/>
      <c r="J960" s="250"/>
    </row>
    <row r="961">
      <c r="I961" s="256"/>
      <c r="J961" s="250"/>
    </row>
    <row r="962">
      <c r="I962" s="256"/>
      <c r="J962" s="250"/>
    </row>
    <row r="963">
      <c r="I963" s="256"/>
      <c r="J963" s="250"/>
    </row>
    <row r="964">
      <c r="I964" s="256"/>
      <c r="J964" s="250"/>
    </row>
    <row r="965">
      <c r="I965" s="256"/>
      <c r="J965" s="250"/>
    </row>
    <row r="966">
      <c r="I966" s="256"/>
      <c r="J966" s="250"/>
    </row>
    <row r="967">
      <c r="I967" s="256"/>
      <c r="J967" s="250"/>
    </row>
    <row r="968">
      <c r="I968" s="256"/>
      <c r="J968" s="250"/>
    </row>
    <row r="969">
      <c r="I969" s="256"/>
      <c r="J969" s="250"/>
    </row>
    <row r="970">
      <c r="I970" s="256"/>
      <c r="J970" s="250"/>
    </row>
    <row r="971">
      <c r="I971" s="256"/>
      <c r="J971" s="250"/>
    </row>
    <row r="972">
      <c r="I972" s="256"/>
      <c r="J972" s="250"/>
    </row>
    <row r="973">
      <c r="I973" s="256"/>
      <c r="J973" s="250"/>
    </row>
    <row r="974">
      <c r="I974" s="256"/>
      <c r="J974" s="250"/>
    </row>
    <row r="975">
      <c r="I975" s="256"/>
      <c r="J975" s="250"/>
    </row>
    <row r="976">
      <c r="I976" s="256"/>
      <c r="J976" s="250"/>
    </row>
    <row r="977">
      <c r="I977" s="256"/>
      <c r="J977" s="250"/>
    </row>
    <row r="978">
      <c r="I978" s="256"/>
      <c r="J978" s="250"/>
    </row>
    <row r="979">
      <c r="I979" s="256"/>
      <c r="J979" s="250"/>
    </row>
    <row r="980">
      <c r="I980" s="256"/>
      <c r="J980" s="250"/>
    </row>
    <row r="981">
      <c r="I981" s="256"/>
      <c r="J981" s="250"/>
    </row>
    <row r="982">
      <c r="I982" s="256"/>
      <c r="J982" s="250"/>
    </row>
    <row r="983">
      <c r="I983" s="256"/>
      <c r="J983" s="250"/>
    </row>
    <row r="984">
      <c r="I984" s="256"/>
      <c r="J984" s="250"/>
    </row>
    <row r="985">
      <c r="I985" s="256"/>
      <c r="J985" s="250"/>
    </row>
    <row r="986">
      <c r="I986" s="256"/>
      <c r="J986" s="250"/>
    </row>
    <row r="987">
      <c r="I987" s="256"/>
      <c r="J987" s="250"/>
    </row>
    <row r="988">
      <c r="I988" s="256"/>
      <c r="J988" s="250"/>
    </row>
    <row r="989">
      <c r="I989" s="256"/>
      <c r="J989" s="250"/>
    </row>
    <row r="990">
      <c r="I990" s="256"/>
      <c r="J990" s="250"/>
    </row>
    <row r="991">
      <c r="I991" s="256"/>
      <c r="J991" s="250"/>
    </row>
    <row r="992">
      <c r="I992" s="256"/>
      <c r="J992" s="250"/>
    </row>
    <row r="993">
      <c r="I993" s="256"/>
      <c r="J993" s="250"/>
    </row>
    <row r="994">
      <c r="I994" s="256"/>
      <c r="J994" s="250"/>
    </row>
    <row r="995">
      <c r="I995" s="256"/>
      <c r="J995" s="250"/>
    </row>
    <row r="996">
      <c r="I996" s="256"/>
      <c r="J996" s="250"/>
    </row>
    <row r="997">
      <c r="I997" s="256"/>
      <c r="J997" s="250"/>
    </row>
    <row r="998">
      <c r="I998" s="256"/>
      <c r="J998" s="250"/>
    </row>
    <row r="999">
      <c r="I999" s="256"/>
      <c r="J999" s="250"/>
    </row>
    <row r="1000">
      <c r="I1000" s="256"/>
      <c r="J1000" s="250"/>
    </row>
    <row r="1001">
      <c r="I1001" s="256"/>
      <c r="J1001" s="250"/>
    </row>
  </sheetData>
  <conditionalFormatting sqref="C25:F30">
    <cfRule type="colorScale" priority="1">
      <colorScale>
        <cfvo type="min"/>
        <cfvo type="max"/>
        <color rgb="FFFFFFFF"/>
        <color rgb="FFE67C73"/>
      </colorScale>
    </cfRule>
  </conditionalFormatting>
  <conditionalFormatting sqref="C45:D50">
    <cfRule type="colorScale" priority="2">
      <colorScale>
        <cfvo type="min"/>
        <cfvo type="max"/>
        <color rgb="FFFFFFFF"/>
        <color rgb="FFE67C73"/>
      </colorScale>
    </cfRule>
  </conditionalFormatting>
  <conditionalFormatting sqref="C68:F74">
    <cfRule type="colorScale" priority="3">
      <colorScale>
        <cfvo type="min"/>
        <cfvo type="max"/>
        <color rgb="FFFFFFFF"/>
        <color rgb="FFE67C73"/>
      </colorScale>
    </cfRule>
  </conditionalFormatting>
  <conditionalFormatting sqref="C90:D96">
    <cfRule type="colorScale" priority="4">
      <colorScale>
        <cfvo type="min"/>
        <cfvo type="max"/>
        <color rgb="FFFFFFFF"/>
        <color rgb="FFE67C73"/>
      </colorScale>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71"/>
    <col customWidth="1" min="4" max="5" width="21.57"/>
  </cols>
  <sheetData>
    <row r="2">
      <c r="B2" s="257" t="s">
        <v>2126</v>
      </c>
      <c r="C2" s="258"/>
      <c r="D2" s="258"/>
      <c r="E2" s="258"/>
      <c r="F2" s="258"/>
      <c r="G2" s="258"/>
    </row>
    <row r="3">
      <c r="B3" s="259" t="s">
        <v>49</v>
      </c>
      <c r="C3" s="259" t="s">
        <v>56</v>
      </c>
      <c r="D3" s="259" t="s">
        <v>296</v>
      </c>
      <c r="E3" s="259" t="s">
        <v>180</v>
      </c>
      <c r="F3" s="259" t="s">
        <v>278</v>
      </c>
      <c r="G3" s="259" t="s">
        <v>1630</v>
      </c>
    </row>
    <row r="4">
      <c r="B4" s="260" t="s">
        <v>2130</v>
      </c>
      <c r="C4" s="260">
        <v>16.0</v>
      </c>
      <c r="D4" s="260">
        <v>19.0</v>
      </c>
      <c r="E4" s="260">
        <v>10.0</v>
      </c>
      <c r="F4" s="260">
        <v>10.0</v>
      </c>
      <c r="G4" s="260">
        <v>55.0</v>
      </c>
    </row>
    <row r="5">
      <c r="B5" s="260" t="s">
        <v>2131</v>
      </c>
      <c r="C5" s="260">
        <v>5.0</v>
      </c>
      <c r="D5" s="260">
        <v>4.0</v>
      </c>
      <c r="E5" s="260">
        <v>10.0</v>
      </c>
      <c r="F5" s="260">
        <v>4.0</v>
      </c>
      <c r="G5" s="260">
        <v>23.0</v>
      </c>
    </row>
    <row r="6">
      <c r="B6" s="260" t="s">
        <v>2132</v>
      </c>
      <c r="C6" s="260">
        <v>5.0</v>
      </c>
      <c r="D6" s="260">
        <v>1.0</v>
      </c>
      <c r="E6" s="260">
        <v>2.0</v>
      </c>
      <c r="F6" s="260">
        <v>1.0</v>
      </c>
      <c r="G6" s="260">
        <v>9.0</v>
      </c>
    </row>
    <row r="7">
      <c r="B7" s="260" t="s">
        <v>139</v>
      </c>
      <c r="C7" s="260">
        <v>11.0</v>
      </c>
      <c r="D7" s="260">
        <v>10.0</v>
      </c>
      <c r="E7" s="260">
        <v>7.0</v>
      </c>
      <c r="F7" s="260">
        <v>18.0</v>
      </c>
      <c r="G7" s="260">
        <v>46.0</v>
      </c>
    </row>
    <row r="8">
      <c r="B8" s="261" t="s">
        <v>1630</v>
      </c>
      <c r="C8" s="261">
        <v>37.0</v>
      </c>
      <c r="D8" s="261">
        <v>34.0</v>
      </c>
      <c r="E8" s="261">
        <v>29.0</v>
      </c>
      <c r="F8" s="261">
        <v>33.0</v>
      </c>
      <c r="G8" s="261">
        <v>133.0</v>
      </c>
    </row>
    <row r="9">
      <c r="B9" s="258"/>
      <c r="C9" s="258"/>
      <c r="D9" s="258"/>
      <c r="E9" s="258"/>
      <c r="F9" s="258"/>
      <c r="G9" s="258"/>
    </row>
    <row r="10">
      <c r="B10" s="257" t="s">
        <v>2127</v>
      </c>
      <c r="C10" s="258"/>
      <c r="D10" s="258"/>
      <c r="E10" s="258"/>
      <c r="F10" s="258"/>
      <c r="G10" s="258"/>
    </row>
    <row r="11">
      <c r="B11" s="259" t="s">
        <v>49</v>
      </c>
      <c r="C11" s="259" t="s">
        <v>56</v>
      </c>
      <c r="D11" s="259" t="s">
        <v>296</v>
      </c>
      <c r="E11" s="259" t="s">
        <v>180</v>
      </c>
      <c r="F11" s="259" t="s">
        <v>278</v>
      </c>
      <c r="G11" s="259" t="s">
        <v>1630</v>
      </c>
    </row>
    <row r="12">
      <c r="B12" s="260" t="s">
        <v>2130</v>
      </c>
      <c r="C12" s="262">
        <v>0.432</v>
      </c>
      <c r="D12" s="262">
        <v>0.559</v>
      </c>
      <c r="E12" s="262">
        <v>0.345</v>
      </c>
      <c r="F12" s="262">
        <v>0.303</v>
      </c>
      <c r="G12" s="262">
        <v>0.414</v>
      </c>
    </row>
    <row r="13">
      <c r="B13" s="260" t="s">
        <v>2131</v>
      </c>
      <c r="C13" s="262">
        <v>0.135</v>
      </c>
      <c r="D13" s="262">
        <v>0.118</v>
      </c>
      <c r="E13" s="262">
        <v>0.345</v>
      </c>
      <c r="F13" s="262">
        <v>0.121</v>
      </c>
      <c r="G13" s="262">
        <v>0.173</v>
      </c>
    </row>
    <row r="14">
      <c r="B14" s="260" t="s">
        <v>2132</v>
      </c>
      <c r="C14" s="262">
        <v>0.135</v>
      </c>
      <c r="D14" s="262">
        <v>0.029</v>
      </c>
      <c r="E14" s="262">
        <v>0.069</v>
      </c>
      <c r="F14" s="262">
        <v>0.03</v>
      </c>
      <c r="G14" s="262">
        <v>0.068</v>
      </c>
    </row>
    <row r="15">
      <c r="B15" s="260" t="s">
        <v>139</v>
      </c>
      <c r="C15" s="262">
        <v>0.297</v>
      </c>
      <c r="D15" s="262">
        <v>0.294</v>
      </c>
      <c r="E15" s="262">
        <v>0.241</v>
      </c>
      <c r="F15" s="262">
        <v>0.545</v>
      </c>
      <c r="G15" s="262">
        <v>0.346</v>
      </c>
    </row>
    <row r="16">
      <c r="B16" s="261" t="s">
        <v>1630</v>
      </c>
      <c r="C16" s="263">
        <v>1.0</v>
      </c>
      <c r="D16" s="263">
        <v>1.0</v>
      </c>
      <c r="E16" s="263">
        <v>1.0</v>
      </c>
      <c r="F16" s="263">
        <v>1.0</v>
      </c>
      <c r="G16" s="263">
        <v>1.0</v>
      </c>
    </row>
    <row r="17">
      <c r="B17" s="258"/>
      <c r="C17" s="258"/>
      <c r="D17" s="258"/>
      <c r="E17" s="258"/>
      <c r="F17" s="258"/>
      <c r="G17" s="258"/>
    </row>
    <row r="18">
      <c r="B18" s="257" t="s">
        <v>2128</v>
      </c>
      <c r="C18" s="258"/>
      <c r="D18" s="258"/>
      <c r="E18" s="258"/>
      <c r="F18" s="258"/>
      <c r="G18" s="258"/>
    </row>
    <row r="19">
      <c r="B19" s="259" t="s">
        <v>49</v>
      </c>
      <c r="C19" s="259" t="s">
        <v>149</v>
      </c>
      <c r="D19" s="259" t="s">
        <v>60</v>
      </c>
      <c r="E19" s="259" t="s">
        <v>1630</v>
      </c>
      <c r="F19" s="258"/>
      <c r="G19" s="258"/>
    </row>
    <row r="20">
      <c r="B20" s="260" t="s">
        <v>2130</v>
      </c>
      <c r="C20" s="260">
        <v>28.0</v>
      </c>
      <c r="D20" s="260">
        <v>27.0</v>
      </c>
      <c r="E20" s="260">
        <v>55.0</v>
      </c>
      <c r="F20" s="258"/>
      <c r="G20" s="258"/>
    </row>
    <row r="21">
      <c r="B21" s="260" t="s">
        <v>2131</v>
      </c>
      <c r="C21" s="260">
        <v>7.0</v>
      </c>
      <c r="D21" s="260">
        <v>16.0</v>
      </c>
      <c r="E21" s="260">
        <v>23.0</v>
      </c>
      <c r="F21" s="258"/>
      <c r="G21" s="258"/>
    </row>
    <row r="22">
      <c r="B22" s="260" t="s">
        <v>2132</v>
      </c>
      <c r="C22" s="260">
        <v>2.0</v>
      </c>
      <c r="D22" s="260">
        <v>7.0</v>
      </c>
      <c r="E22" s="260">
        <v>9.0</v>
      </c>
      <c r="F22" s="258"/>
      <c r="G22" s="258"/>
    </row>
    <row r="23">
      <c r="B23" s="260" t="s">
        <v>139</v>
      </c>
      <c r="C23" s="260">
        <v>18.0</v>
      </c>
      <c r="D23" s="260">
        <v>28.0</v>
      </c>
      <c r="E23" s="260">
        <v>46.0</v>
      </c>
      <c r="F23" s="258"/>
      <c r="G23" s="258"/>
    </row>
    <row r="24">
      <c r="B24" s="261" t="s">
        <v>1630</v>
      </c>
      <c r="C24" s="261">
        <v>55.0</v>
      </c>
      <c r="D24" s="261">
        <v>78.0</v>
      </c>
      <c r="E24" s="261">
        <v>133.0</v>
      </c>
      <c r="F24" s="258"/>
      <c r="G24" s="258"/>
    </row>
    <row r="25">
      <c r="B25" s="258"/>
      <c r="C25" s="258"/>
      <c r="D25" s="258"/>
      <c r="E25" s="258"/>
      <c r="F25" s="258"/>
      <c r="G25" s="258"/>
    </row>
    <row r="26">
      <c r="B26" s="257" t="s">
        <v>2129</v>
      </c>
      <c r="C26" s="258"/>
      <c r="D26" s="258"/>
      <c r="E26" s="258"/>
      <c r="F26" s="258"/>
      <c r="G26" s="258"/>
    </row>
    <row r="27">
      <c r="B27" s="259" t="s">
        <v>49</v>
      </c>
      <c r="C27" s="259" t="s">
        <v>149</v>
      </c>
      <c r="D27" s="259" t="s">
        <v>60</v>
      </c>
      <c r="E27" s="259" t="s">
        <v>1630</v>
      </c>
      <c r="F27" s="258"/>
      <c r="G27" s="258"/>
    </row>
    <row r="28">
      <c r="B28" s="260" t="s">
        <v>2130</v>
      </c>
      <c r="C28" s="262">
        <v>0.509</v>
      </c>
      <c r="D28" s="262">
        <v>0.346</v>
      </c>
      <c r="E28" s="262">
        <v>0.414</v>
      </c>
      <c r="F28" s="258"/>
      <c r="G28" s="258"/>
    </row>
    <row r="29">
      <c r="B29" s="260" t="s">
        <v>2131</v>
      </c>
      <c r="C29" s="262">
        <v>0.127</v>
      </c>
      <c r="D29" s="262">
        <v>0.205</v>
      </c>
      <c r="E29" s="262">
        <v>0.173</v>
      </c>
      <c r="F29" s="258"/>
      <c r="G29" s="258"/>
    </row>
    <row r="30">
      <c r="B30" s="260" t="s">
        <v>2132</v>
      </c>
      <c r="C30" s="262">
        <v>0.036</v>
      </c>
      <c r="D30" s="262">
        <v>0.09</v>
      </c>
      <c r="E30" s="262">
        <v>0.068</v>
      </c>
      <c r="F30" s="258"/>
      <c r="G30" s="258"/>
    </row>
    <row r="31">
      <c r="B31" s="260" t="s">
        <v>139</v>
      </c>
      <c r="C31" s="262">
        <v>0.327</v>
      </c>
      <c r="D31" s="262">
        <v>0.359</v>
      </c>
      <c r="E31" s="262">
        <v>0.346</v>
      </c>
      <c r="F31" s="258"/>
      <c r="G31" s="258"/>
    </row>
    <row r="32">
      <c r="B32" s="261" t="s">
        <v>1630</v>
      </c>
      <c r="C32" s="263">
        <v>1.0</v>
      </c>
      <c r="D32" s="263">
        <v>1.0</v>
      </c>
      <c r="E32" s="263">
        <v>1.0</v>
      </c>
      <c r="F32" s="258"/>
      <c r="G32" s="258"/>
    </row>
  </sheetData>
  <conditionalFormatting sqref="C4:F7">
    <cfRule type="colorScale" priority="1">
      <colorScale>
        <cfvo type="min"/>
        <cfvo type="max"/>
        <color rgb="FFFFFFFF"/>
        <color rgb="FFE67C73"/>
      </colorScale>
    </cfRule>
  </conditionalFormatting>
  <conditionalFormatting sqref="C20:D23">
    <cfRule type="colorScale" priority="2">
      <colorScale>
        <cfvo type="min"/>
        <cfvo type="max"/>
        <color rgb="FFFFFFFF"/>
        <color rgb="FFE67C73"/>
      </colorScale>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5.86"/>
    <col customWidth="1" min="4" max="5" width="21.57"/>
    <col customWidth="1" min="8" max="8" width="35.86"/>
    <col customWidth="1" min="9" max="9" width="114.43"/>
  </cols>
  <sheetData>
    <row r="1">
      <c r="I1" s="6"/>
    </row>
    <row r="2">
      <c r="H2" s="264" t="s">
        <v>2110</v>
      </c>
      <c r="I2" s="265" t="s">
        <v>2111</v>
      </c>
    </row>
    <row r="3">
      <c r="H3" s="264" t="s">
        <v>81</v>
      </c>
      <c r="I3" s="265" t="s">
        <v>2133</v>
      </c>
    </row>
    <row r="4">
      <c r="H4" s="264" t="s">
        <v>161</v>
      </c>
      <c r="I4" s="265" t="s">
        <v>2134</v>
      </c>
    </row>
    <row r="5">
      <c r="H5" s="264" t="s">
        <v>144</v>
      </c>
      <c r="I5" s="265" t="s">
        <v>2135</v>
      </c>
    </row>
    <row r="6">
      <c r="H6" s="264" t="s">
        <v>129</v>
      </c>
      <c r="I6" s="265" t="s">
        <v>2136</v>
      </c>
    </row>
    <row r="7">
      <c r="H7" s="264" t="s">
        <v>202</v>
      </c>
      <c r="I7" s="265" t="s">
        <v>2137</v>
      </c>
    </row>
    <row r="8">
      <c r="H8" s="264" t="s">
        <v>470</v>
      </c>
      <c r="I8" s="265" t="s">
        <v>2138</v>
      </c>
    </row>
    <row r="9">
      <c r="H9" s="264" t="s">
        <v>107</v>
      </c>
      <c r="I9" s="265" t="s">
        <v>2139</v>
      </c>
    </row>
    <row r="10">
      <c r="H10" s="264" t="s">
        <v>291</v>
      </c>
      <c r="I10" s="265" t="s">
        <v>2140</v>
      </c>
    </row>
    <row r="11">
      <c r="H11" s="264" t="s">
        <v>432</v>
      </c>
      <c r="I11" s="265" t="s">
        <v>2141</v>
      </c>
    </row>
    <row r="12">
      <c r="I12" s="6"/>
    </row>
    <row r="13">
      <c r="B13" s="257" t="s">
        <v>2126</v>
      </c>
      <c r="C13" s="258"/>
      <c r="D13" s="258"/>
      <c r="E13" s="258"/>
      <c r="F13" s="258"/>
      <c r="G13" s="258"/>
      <c r="I13" s="6"/>
    </row>
    <row r="14">
      <c r="B14" s="259" t="s">
        <v>51</v>
      </c>
      <c r="C14" s="259" t="s">
        <v>56</v>
      </c>
      <c r="D14" s="259" t="s">
        <v>296</v>
      </c>
      <c r="E14" s="259" t="s">
        <v>180</v>
      </c>
      <c r="F14" s="259" t="s">
        <v>278</v>
      </c>
      <c r="G14" s="259" t="s">
        <v>1630</v>
      </c>
      <c r="I14" s="6"/>
    </row>
    <row r="15">
      <c r="B15" s="260" t="s">
        <v>81</v>
      </c>
      <c r="C15" s="260">
        <v>5.0</v>
      </c>
      <c r="D15" s="260">
        <v>7.0</v>
      </c>
      <c r="E15" s="260">
        <v>4.0</v>
      </c>
      <c r="F15" s="260">
        <v>4.0</v>
      </c>
      <c r="G15" s="260">
        <v>20.0</v>
      </c>
      <c r="I15" s="6"/>
    </row>
    <row r="16">
      <c r="B16" s="260" t="s">
        <v>161</v>
      </c>
      <c r="C16" s="260">
        <v>7.0</v>
      </c>
      <c r="D16" s="260">
        <v>0.0</v>
      </c>
      <c r="E16" s="260">
        <v>3.0</v>
      </c>
      <c r="F16" s="260">
        <v>5.0</v>
      </c>
      <c r="G16" s="260">
        <v>15.0</v>
      </c>
      <c r="I16" s="6"/>
    </row>
    <row r="17">
      <c r="B17" s="260" t="s">
        <v>144</v>
      </c>
      <c r="C17" s="260">
        <v>4.0</v>
      </c>
      <c r="D17" s="260">
        <v>3.0</v>
      </c>
      <c r="E17" s="260">
        <v>3.0</v>
      </c>
      <c r="F17" s="260">
        <v>4.0</v>
      </c>
      <c r="G17" s="260">
        <v>14.0</v>
      </c>
      <c r="I17" s="6"/>
    </row>
    <row r="18">
      <c r="B18" s="260" t="s">
        <v>129</v>
      </c>
      <c r="C18" s="260">
        <v>4.0</v>
      </c>
      <c r="D18" s="260">
        <v>7.0</v>
      </c>
      <c r="E18" s="260">
        <v>5.0</v>
      </c>
      <c r="F18" s="260">
        <v>4.0</v>
      </c>
      <c r="G18" s="260">
        <v>20.0</v>
      </c>
      <c r="I18" s="6"/>
    </row>
    <row r="19">
      <c r="B19" s="260" t="s">
        <v>202</v>
      </c>
      <c r="C19" s="260">
        <v>0.0</v>
      </c>
      <c r="D19" s="260">
        <v>3.0</v>
      </c>
      <c r="E19" s="260">
        <v>2.0</v>
      </c>
      <c r="F19" s="260">
        <v>3.0</v>
      </c>
      <c r="G19" s="260">
        <v>8.0</v>
      </c>
      <c r="I19" s="6"/>
    </row>
    <row r="20">
      <c r="B20" s="260" t="s">
        <v>470</v>
      </c>
      <c r="C20" s="260">
        <v>1.0</v>
      </c>
      <c r="D20" s="260">
        <v>4.0</v>
      </c>
      <c r="E20" s="260">
        <v>2.0</v>
      </c>
      <c r="F20" s="260">
        <v>3.0</v>
      </c>
      <c r="G20" s="260">
        <v>10.0</v>
      </c>
      <c r="I20" s="6"/>
    </row>
    <row r="21">
      <c r="B21" s="260" t="s">
        <v>107</v>
      </c>
      <c r="C21" s="260">
        <v>12.0</v>
      </c>
      <c r="D21" s="260">
        <v>1.0</v>
      </c>
      <c r="E21" s="260">
        <v>4.0</v>
      </c>
      <c r="F21" s="260">
        <v>4.0</v>
      </c>
      <c r="G21" s="260">
        <v>21.0</v>
      </c>
      <c r="I21" s="6"/>
    </row>
    <row r="22">
      <c r="B22" s="260" t="s">
        <v>291</v>
      </c>
      <c r="C22" s="260">
        <v>0.0</v>
      </c>
      <c r="D22" s="260">
        <v>2.0</v>
      </c>
      <c r="E22" s="260">
        <v>3.0</v>
      </c>
      <c r="F22" s="260">
        <v>4.0</v>
      </c>
      <c r="G22" s="260">
        <v>9.0</v>
      </c>
      <c r="I22" s="6"/>
    </row>
    <row r="23">
      <c r="B23" s="260" t="s">
        <v>432</v>
      </c>
      <c r="C23" s="260">
        <v>4.0</v>
      </c>
      <c r="D23" s="260">
        <v>7.0</v>
      </c>
      <c r="E23" s="260">
        <v>3.0</v>
      </c>
      <c r="F23" s="260">
        <v>2.0</v>
      </c>
      <c r="G23" s="260">
        <v>16.0</v>
      </c>
      <c r="I23" s="6"/>
    </row>
    <row r="24">
      <c r="B24" s="261" t="s">
        <v>1630</v>
      </c>
      <c r="C24" s="261">
        <v>37.0</v>
      </c>
      <c r="D24" s="261">
        <v>34.0</v>
      </c>
      <c r="E24" s="261">
        <v>29.0</v>
      </c>
      <c r="F24" s="261">
        <v>33.0</v>
      </c>
      <c r="G24" s="261">
        <v>133.0</v>
      </c>
      <c r="I24" s="6"/>
    </row>
    <row r="25">
      <c r="B25" s="258"/>
      <c r="C25" s="258"/>
      <c r="D25" s="258"/>
      <c r="E25" s="258"/>
      <c r="F25" s="258"/>
      <c r="G25" s="258"/>
      <c r="I25" s="6"/>
    </row>
    <row r="26">
      <c r="B26" s="257" t="s">
        <v>2127</v>
      </c>
      <c r="C26" s="258"/>
      <c r="D26" s="258"/>
      <c r="E26" s="258"/>
      <c r="F26" s="258"/>
      <c r="G26" s="258"/>
      <c r="I26" s="6"/>
    </row>
    <row r="27">
      <c r="B27" s="259" t="s">
        <v>51</v>
      </c>
      <c r="C27" s="259" t="s">
        <v>56</v>
      </c>
      <c r="D27" s="259" t="s">
        <v>296</v>
      </c>
      <c r="E27" s="259" t="s">
        <v>180</v>
      </c>
      <c r="F27" s="259" t="s">
        <v>278</v>
      </c>
      <c r="G27" s="259" t="s">
        <v>1630</v>
      </c>
      <c r="I27" s="6"/>
    </row>
    <row r="28">
      <c r="B28" s="260" t="s">
        <v>81</v>
      </c>
      <c r="C28" s="262">
        <v>0.135</v>
      </c>
      <c r="D28" s="262">
        <v>0.206</v>
      </c>
      <c r="E28" s="262">
        <v>0.138</v>
      </c>
      <c r="F28" s="262">
        <v>0.121</v>
      </c>
      <c r="G28" s="262">
        <v>0.15</v>
      </c>
      <c r="I28" s="6"/>
    </row>
    <row r="29">
      <c r="B29" s="260" t="s">
        <v>161</v>
      </c>
      <c r="C29" s="262">
        <v>0.189</v>
      </c>
      <c r="D29" s="262">
        <v>0.0</v>
      </c>
      <c r="E29" s="262">
        <v>0.103</v>
      </c>
      <c r="F29" s="262">
        <v>0.152</v>
      </c>
      <c r="G29" s="262">
        <v>0.113</v>
      </c>
      <c r="I29" s="6"/>
    </row>
    <row r="30">
      <c r="B30" s="260" t="s">
        <v>144</v>
      </c>
      <c r="C30" s="262">
        <v>0.108</v>
      </c>
      <c r="D30" s="262">
        <v>0.088</v>
      </c>
      <c r="E30" s="262">
        <v>0.103</v>
      </c>
      <c r="F30" s="262">
        <v>0.121</v>
      </c>
      <c r="G30" s="262">
        <v>0.105</v>
      </c>
      <c r="I30" s="6"/>
    </row>
    <row r="31">
      <c r="B31" s="260" t="s">
        <v>129</v>
      </c>
      <c r="C31" s="262">
        <v>0.108</v>
      </c>
      <c r="D31" s="262">
        <v>0.206</v>
      </c>
      <c r="E31" s="262">
        <v>0.172</v>
      </c>
      <c r="F31" s="262">
        <v>0.121</v>
      </c>
      <c r="G31" s="262">
        <v>0.15</v>
      </c>
      <c r="I31" s="6"/>
    </row>
    <row r="32">
      <c r="B32" s="260" t="s">
        <v>202</v>
      </c>
      <c r="C32" s="262">
        <v>0.0</v>
      </c>
      <c r="D32" s="262">
        <v>0.088</v>
      </c>
      <c r="E32" s="262">
        <v>0.069</v>
      </c>
      <c r="F32" s="262">
        <v>0.091</v>
      </c>
      <c r="G32" s="262">
        <v>0.06</v>
      </c>
      <c r="I32" s="6"/>
    </row>
    <row r="33">
      <c r="B33" s="260" t="s">
        <v>470</v>
      </c>
      <c r="C33" s="262">
        <v>0.027</v>
      </c>
      <c r="D33" s="262">
        <v>0.118</v>
      </c>
      <c r="E33" s="262">
        <v>0.069</v>
      </c>
      <c r="F33" s="262">
        <v>0.091</v>
      </c>
      <c r="G33" s="262">
        <v>0.075</v>
      </c>
      <c r="I33" s="6"/>
    </row>
    <row r="34">
      <c r="B34" s="260" t="s">
        <v>107</v>
      </c>
      <c r="C34" s="262">
        <v>0.324</v>
      </c>
      <c r="D34" s="262">
        <v>0.029</v>
      </c>
      <c r="E34" s="262">
        <v>0.138</v>
      </c>
      <c r="F34" s="262">
        <v>0.121</v>
      </c>
      <c r="G34" s="262">
        <v>0.158</v>
      </c>
      <c r="I34" s="6"/>
    </row>
    <row r="35">
      <c r="B35" s="260" t="s">
        <v>291</v>
      </c>
      <c r="C35" s="262">
        <v>0.0</v>
      </c>
      <c r="D35" s="262">
        <v>0.059</v>
      </c>
      <c r="E35" s="262">
        <v>0.103</v>
      </c>
      <c r="F35" s="262">
        <v>0.121</v>
      </c>
      <c r="G35" s="262">
        <v>0.068</v>
      </c>
      <c r="I35" s="6"/>
    </row>
    <row r="36">
      <c r="B36" s="260" t="s">
        <v>432</v>
      </c>
      <c r="C36" s="262">
        <v>0.108</v>
      </c>
      <c r="D36" s="262">
        <v>0.206</v>
      </c>
      <c r="E36" s="262">
        <v>0.103</v>
      </c>
      <c r="F36" s="262">
        <v>0.061</v>
      </c>
      <c r="G36" s="262">
        <v>0.12</v>
      </c>
      <c r="I36" s="6"/>
    </row>
    <row r="37">
      <c r="B37" s="261" t="s">
        <v>1630</v>
      </c>
      <c r="C37" s="263">
        <v>1.0</v>
      </c>
      <c r="D37" s="263">
        <v>1.0</v>
      </c>
      <c r="E37" s="263">
        <v>1.0</v>
      </c>
      <c r="F37" s="263">
        <v>1.0</v>
      </c>
      <c r="G37" s="263">
        <v>1.0</v>
      </c>
      <c r="I37" s="6"/>
    </row>
    <row r="38">
      <c r="B38" s="258"/>
      <c r="C38" s="258"/>
      <c r="D38" s="258"/>
      <c r="E38" s="258"/>
      <c r="F38" s="258"/>
      <c r="G38" s="258"/>
      <c r="I38" s="6"/>
    </row>
    <row r="39">
      <c r="B39" s="257" t="s">
        <v>2128</v>
      </c>
      <c r="C39" s="258"/>
      <c r="D39" s="258"/>
      <c r="E39" s="258"/>
      <c r="F39" s="258"/>
      <c r="G39" s="258"/>
      <c r="I39" s="6"/>
    </row>
    <row r="40">
      <c r="B40" s="259" t="s">
        <v>51</v>
      </c>
      <c r="C40" s="259" t="s">
        <v>149</v>
      </c>
      <c r="D40" s="259" t="s">
        <v>60</v>
      </c>
      <c r="E40" s="259" t="s">
        <v>1630</v>
      </c>
      <c r="F40" s="258"/>
      <c r="G40" s="258"/>
      <c r="I40" s="6"/>
    </row>
    <row r="41">
      <c r="B41" s="260" t="s">
        <v>81</v>
      </c>
      <c r="C41" s="260">
        <v>11.0</v>
      </c>
      <c r="D41" s="260">
        <v>9.0</v>
      </c>
      <c r="E41" s="260">
        <v>20.0</v>
      </c>
      <c r="F41" s="258"/>
      <c r="G41" s="258"/>
      <c r="I41" s="6"/>
    </row>
    <row r="42">
      <c r="B42" s="260" t="s">
        <v>161</v>
      </c>
      <c r="C42" s="260">
        <v>1.0</v>
      </c>
      <c r="D42" s="260">
        <v>14.0</v>
      </c>
      <c r="E42" s="260">
        <v>15.0</v>
      </c>
      <c r="F42" s="258"/>
      <c r="G42" s="258"/>
      <c r="I42" s="6"/>
    </row>
    <row r="43">
      <c r="B43" s="260" t="s">
        <v>144</v>
      </c>
      <c r="C43" s="260">
        <v>5.0</v>
      </c>
      <c r="D43" s="260">
        <v>9.0</v>
      </c>
      <c r="E43" s="260">
        <v>14.0</v>
      </c>
      <c r="F43" s="258"/>
      <c r="G43" s="258"/>
      <c r="I43" s="6"/>
    </row>
    <row r="44">
      <c r="B44" s="260" t="s">
        <v>129</v>
      </c>
      <c r="C44" s="260">
        <v>11.0</v>
      </c>
      <c r="D44" s="260">
        <v>9.0</v>
      </c>
      <c r="E44" s="260">
        <v>20.0</v>
      </c>
      <c r="F44" s="258"/>
      <c r="G44" s="258"/>
      <c r="I44" s="6"/>
    </row>
    <row r="45">
      <c r="B45" s="260" t="s">
        <v>202</v>
      </c>
      <c r="C45" s="260">
        <v>4.0</v>
      </c>
      <c r="D45" s="260">
        <v>4.0</v>
      </c>
      <c r="E45" s="260">
        <v>8.0</v>
      </c>
      <c r="F45" s="258"/>
      <c r="G45" s="258"/>
      <c r="I45" s="6"/>
    </row>
    <row r="46">
      <c r="B46" s="260" t="s">
        <v>470</v>
      </c>
      <c r="C46" s="260">
        <v>5.0</v>
      </c>
      <c r="D46" s="260">
        <v>5.0</v>
      </c>
      <c r="E46" s="260">
        <v>10.0</v>
      </c>
      <c r="F46" s="258"/>
      <c r="G46" s="258"/>
      <c r="I46" s="6"/>
    </row>
    <row r="47">
      <c r="B47" s="260" t="s">
        <v>107</v>
      </c>
      <c r="C47" s="260">
        <v>5.0</v>
      </c>
      <c r="D47" s="260">
        <v>16.0</v>
      </c>
      <c r="E47" s="260">
        <v>21.0</v>
      </c>
      <c r="F47" s="258"/>
      <c r="G47" s="258"/>
      <c r="I47" s="6"/>
    </row>
    <row r="48">
      <c r="B48" s="260" t="s">
        <v>291</v>
      </c>
      <c r="C48" s="260">
        <v>5.0</v>
      </c>
      <c r="D48" s="260">
        <v>4.0</v>
      </c>
      <c r="E48" s="260">
        <v>9.0</v>
      </c>
      <c r="F48" s="258"/>
      <c r="G48" s="258"/>
      <c r="I48" s="6"/>
    </row>
    <row r="49">
      <c r="B49" s="260" t="s">
        <v>432</v>
      </c>
      <c r="C49" s="260">
        <v>8.0</v>
      </c>
      <c r="D49" s="260">
        <v>8.0</v>
      </c>
      <c r="E49" s="260">
        <v>16.0</v>
      </c>
      <c r="F49" s="258"/>
      <c r="G49" s="258"/>
      <c r="I49" s="6"/>
    </row>
    <row r="50">
      <c r="B50" s="261" t="s">
        <v>1630</v>
      </c>
      <c r="C50" s="261">
        <v>55.0</v>
      </c>
      <c r="D50" s="261">
        <v>78.0</v>
      </c>
      <c r="E50" s="261">
        <v>133.0</v>
      </c>
      <c r="F50" s="258"/>
      <c r="G50" s="258"/>
      <c r="I50" s="6"/>
    </row>
    <row r="51">
      <c r="B51" s="258"/>
      <c r="C51" s="258"/>
      <c r="D51" s="258"/>
      <c r="E51" s="258"/>
      <c r="F51" s="258"/>
      <c r="G51" s="258"/>
      <c r="I51" s="6"/>
    </row>
    <row r="52">
      <c r="B52" s="257" t="s">
        <v>2129</v>
      </c>
      <c r="C52" s="258"/>
      <c r="D52" s="258"/>
      <c r="E52" s="258"/>
      <c r="F52" s="258"/>
      <c r="G52" s="258"/>
      <c r="I52" s="6"/>
    </row>
    <row r="53">
      <c r="B53" s="259" t="s">
        <v>51</v>
      </c>
      <c r="C53" s="259" t="s">
        <v>149</v>
      </c>
      <c r="D53" s="259" t="s">
        <v>60</v>
      </c>
      <c r="E53" s="259" t="s">
        <v>1630</v>
      </c>
      <c r="F53" s="258"/>
      <c r="G53" s="258"/>
      <c r="I53" s="6"/>
    </row>
    <row r="54">
      <c r="B54" s="260" t="s">
        <v>81</v>
      </c>
      <c r="C54" s="262">
        <v>0.2</v>
      </c>
      <c r="D54" s="262">
        <v>0.115</v>
      </c>
      <c r="E54" s="262">
        <v>0.15</v>
      </c>
      <c r="F54" s="258"/>
      <c r="G54" s="258"/>
      <c r="I54" s="6"/>
    </row>
    <row r="55">
      <c r="B55" s="260" t="s">
        <v>161</v>
      </c>
      <c r="C55" s="262">
        <v>0.018</v>
      </c>
      <c r="D55" s="262">
        <v>0.179</v>
      </c>
      <c r="E55" s="262">
        <v>0.113</v>
      </c>
      <c r="F55" s="258"/>
      <c r="G55" s="258"/>
      <c r="I55" s="6"/>
    </row>
    <row r="56">
      <c r="B56" s="260" t="s">
        <v>144</v>
      </c>
      <c r="C56" s="262">
        <v>0.091</v>
      </c>
      <c r="D56" s="262">
        <v>0.115</v>
      </c>
      <c r="E56" s="262">
        <v>0.105</v>
      </c>
      <c r="F56" s="258"/>
      <c r="G56" s="258"/>
      <c r="I56" s="6"/>
    </row>
    <row r="57">
      <c r="B57" s="260" t="s">
        <v>129</v>
      </c>
      <c r="C57" s="262">
        <v>0.2</v>
      </c>
      <c r="D57" s="262">
        <v>0.115</v>
      </c>
      <c r="E57" s="262">
        <v>0.15</v>
      </c>
      <c r="F57" s="258"/>
      <c r="G57" s="258"/>
      <c r="I57" s="6"/>
    </row>
    <row r="58">
      <c r="B58" s="260" t="s">
        <v>202</v>
      </c>
      <c r="C58" s="262">
        <v>0.073</v>
      </c>
      <c r="D58" s="262">
        <v>0.051</v>
      </c>
      <c r="E58" s="262">
        <v>0.06</v>
      </c>
      <c r="F58" s="258"/>
      <c r="G58" s="258"/>
      <c r="I58" s="6"/>
    </row>
    <row r="59">
      <c r="B59" s="260" t="s">
        <v>470</v>
      </c>
      <c r="C59" s="262">
        <v>0.091</v>
      </c>
      <c r="D59" s="262">
        <v>0.064</v>
      </c>
      <c r="E59" s="262">
        <v>0.075</v>
      </c>
      <c r="F59" s="258"/>
      <c r="G59" s="258"/>
      <c r="I59" s="6"/>
    </row>
    <row r="60">
      <c r="B60" s="260" t="s">
        <v>107</v>
      </c>
      <c r="C60" s="262">
        <v>0.091</v>
      </c>
      <c r="D60" s="262">
        <v>0.205</v>
      </c>
      <c r="E60" s="262">
        <v>0.158</v>
      </c>
      <c r="F60" s="258"/>
      <c r="G60" s="258"/>
      <c r="I60" s="6"/>
    </row>
    <row r="61">
      <c r="B61" s="260" t="s">
        <v>291</v>
      </c>
      <c r="C61" s="262">
        <v>0.091</v>
      </c>
      <c r="D61" s="262">
        <v>0.051</v>
      </c>
      <c r="E61" s="262">
        <v>0.068</v>
      </c>
      <c r="F61" s="258"/>
      <c r="G61" s="258"/>
      <c r="I61" s="6"/>
    </row>
    <row r="62">
      <c r="B62" s="260" t="s">
        <v>432</v>
      </c>
      <c r="C62" s="262">
        <v>0.145</v>
      </c>
      <c r="D62" s="262">
        <v>0.103</v>
      </c>
      <c r="E62" s="262">
        <v>0.12</v>
      </c>
      <c r="F62" s="258"/>
      <c r="G62" s="258"/>
      <c r="I62" s="6"/>
    </row>
    <row r="63">
      <c r="B63" s="261" t="s">
        <v>1630</v>
      </c>
      <c r="C63" s="263">
        <v>1.0</v>
      </c>
      <c r="D63" s="263">
        <v>1.0</v>
      </c>
      <c r="E63" s="263">
        <v>1.0</v>
      </c>
      <c r="F63" s="258"/>
      <c r="G63" s="258"/>
      <c r="I63" s="6"/>
    </row>
    <row r="64">
      <c r="I64" s="6"/>
    </row>
    <row r="65">
      <c r="I65" s="6"/>
    </row>
    <row r="66">
      <c r="I66" s="6"/>
    </row>
    <row r="67">
      <c r="I67" s="6"/>
    </row>
    <row r="68">
      <c r="I68" s="6"/>
    </row>
    <row r="69">
      <c r="I69" s="6"/>
    </row>
    <row r="70">
      <c r="I70" s="6"/>
    </row>
    <row r="71">
      <c r="I71" s="6"/>
    </row>
    <row r="72">
      <c r="I72" s="6"/>
    </row>
    <row r="73">
      <c r="I73" s="6"/>
    </row>
    <row r="74">
      <c r="I74" s="6"/>
    </row>
    <row r="75">
      <c r="I75" s="6"/>
    </row>
    <row r="76">
      <c r="I76" s="6"/>
    </row>
    <row r="77">
      <c r="I77" s="6"/>
    </row>
    <row r="78">
      <c r="I78" s="6"/>
    </row>
    <row r="79">
      <c r="I79" s="6"/>
    </row>
    <row r="80">
      <c r="I80" s="6"/>
    </row>
    <row r="81">
      <c r="I81" s="6"/>
    </row>
    <row r="82">
      <c r="I82" s="6"/>
    </row>
    <row r="83">
      <c r="I83" s="6"/>
    </row>
    <row r="84">
      <c r="I84" s="6"/>
    </row>
    <row r="85">
      <c r="I85" s="6"/>
    </row>
    <row r="86">
      <c r="I86" s="6"/>
    </row>
    <row r="87">
      <c r="I87" s="6"/>
    </row>
    <row r="88">
      <c r="I88" s="6"/>
    </row>
    <row r="89">
      <c r="I89" s="6"/>
    </row>
    <row r="90">
      <c r="I90" s="6"/>
    </row>
    <row r="91">
      <c r="I91" s="6"/>
    </row>
    <row r="92">
      <c r="I92" s="6"/>
    </row>
    <row r="93">
      <c r="I93" s="6"/>
    </row>
    <row r="94">
      <c r="I94" s="6"/>
    </row>
    <row r="95">
      <c r="I95" s="6"/>
    </row>
    <row r="96">
      <c r="I96" s="6"/>
    </row>
    <row r="97">
      <c r="I97" s="6"/>
    </row>
    <row r="98">
      <c r="I98" s="6"/>
    </row>
    <row r="99">
      <c r="I99" s="6"/>
    </row>
    <row r="100">
      <c r="I100" s="6"/>
    </row>
    <row r="101">
      <c r="I101" s="6"/>
    </row>
    <row r="102">
      <c r="I102" s="6"/>
    </row>
    <row r="103">
      <c r="I103" s="6"/>
    </row>
    <row r="104">
      <c r="I104" s="6"/>
    </row>
    <row r="105">
      <c r="I105" s="6"/>
    </row>
    <row r="106">
      <c r="I106" s="6"/>
    </row>
    <row r="107">
      <c r="I107" s="6"/>
    </row>
    <row r="108">
      <c r="I108" s="6"/>
    </row>
    <row r="109">
      <c r="I109" s="6"/>
    </row>
    <row r="110">
      <c r="I110" s="6"/>
    </row>
    <row r="111">
      <c r="I111" s="6"/>
    </row>
    <row r="112">
      <c r="I112" s="6"/>
    </row>
    <row r="113">
      <c r="I113" s="6"/>
    </row>
    <row r="114">
      <c r="I114" s="6"/>
    </row>
    <row r="115">
      <c r="I115" s="6"/>
    </row>
    <row r="116">
      <c r="I116" s="6"/>
    </row>
    <row r="117">
      <c r="I117" s="6"/>
    </row>
    <row r="118">
      <c r="I118" s="6"/>
    </row>
    <row r="119">
      <c r="I119" s="6"/>
    </row>
    <row r="120">
      <c r="I120" s="6"/>
    </row>
    <row r="121">
      <c r="I121" s="6"/>
    </row>
    <row r="122">
      <c r="I122" s="6"/>
    </row>
    <row r="123">
      <c r="I123" s="6"/>
    </row>
    <row r="124">
      <c r="I124" s="6"/>
    </row>
    <row r="125">
      <c r="I125" s="6"/>
    </row>
    <row r="126">
      <c r="I126" s="6"/>
    </row>
    <row r="127">
      <c r="I127" s="6"/>
    </row>
    <row r="128">
      <c r="I128" s="6"/>
    </row>
    <row r="129">
      <c r="I129" s="6"/>
    </row>
    <row r="130">
      <c r="I130" s="6"/>
    </row>
    <row r="131">
      <c r="I131" s="6"/>
    </row>
    <row r="132">
      <c r="I132" s="6"/>
    </row>
    <row r="133">
      <c r="I133" s="6"/>
    </row>
    <row r="134">
      <c r="I134" s="6"/>
    </row>
    <row r="135">
      <c r="I135" s="6"/>
    </row>
    <row r="136">
      <c r="I136" s="6"/>
    </row>
    <row r="137">
      <c r="I137" s="6"/>
    </row>
    <row r="138">
      <c r="I138" s="6"/>
    </row>
    <row r="139">
      <c r="I139" s="6"/>
    </row>
    <row r="140">
      <c r="I140" s="6"/>
    </row>
    <row r="141">
      <c r="I141" s="6"/>
    </row>
    <row r="142">
      <c r="I142" s="6"/>
    </row>
    <row r="143">
      <c r="I143" s="6"/>
    </row>
    <row r="144">
      <c r="I144" s="6"/>
    </row>
    <row r="145">
      <c r="I145" s="6"/>
    </row>
    <row r="146">
      <c r="I146" s="6"/>
    </row>
    <row r="147">
      <c r="I147" s="6"/>
    </row>
    <row r="148">
      <c r="I148" s="6"/>
    </row>
    <row r="149">
      <c r="I149" s="6"/>
    </row>
    <row r="150">
      <c r="I150" s="6"/>
    </row>
    <row r="151">
      <c r="I151" s="6"/>
    </row>
    <row r="152">
      <c r="I152" s="6"/>
    </row>
    <row r="153">
      <c r="I153" s="6"/>
    </row>
    <row r="154">
      <c r="I154" s="6"/>
    </row>
    <row r="155">
      <c r="I155" s="6"/>
    </row>
    <row r="156">
      <c r="I156" s="6"/>
    </row>
    <row r="157">
      <c r="I157" s="6"/>
    </row>
    <row r="158">
      <c r="I158" s="6"/>
    </row>
    <row r="159">
      <c r="I159" s="6"/>
    </row>
    <row r="160">
      <c r="I160" s="6"/>
    </row>
    <row r="161">
      <c r="I161" s="6"/>
    </row>
    <row r="162">
      <c r="I162" s="6"/>
    </row>
    <row r="163">
      <c r="I163" s="6"/>
    </row>
    <row r="164">
      <c r="I164" s="6"/>
    </row>
    <row r="165">
      <c r="I165" s="6"/>
    </row>
    <row r="166">
      <c r="I166" s="6"/>
    </row>
    <row r="167">
      <c r="I167" s="6"/>
    </row>
    <row r="168">
      <c r="I168" s="6"/>
    </row>
    <row r="169">
      <c r="I169" s="6"/>
    </row>
    <row r="170">
      <c r="I170" s="6"/>
    </row>
    <row r="171">
      <c r="I171" s="6"/>
    </row>
    <row r="172">
      <c r="I172" s="6"/>
    </row>
    <row r="173">
      <c r="I173" s="6"/>
    </row>
    <row r="174">
      <c r="I174" s="6"/>
    </row>
    <row r="175">
      <c r="I175" s="6"/>
    </row>
    <row r="176">
      <c r="I176" s="6"/>
    </row>
    <row r="177">
      <c r="I177" s="6"/>
    </row>
    <row r="178">
      <c r="I178" s="6"/>
    </row>
    <row r="179">
      <c r="I179" s="6"/>
    </row>
    <row r="180">
      <c r="I180" s="6"/>
    </row>
    <row r="181">
      <c r="I181" s="6"/>
    </row>
    <row r="182">
      <c r="I182" s="6"/>
    </row>
    <row r="183">
      <c r="I183" s="6"/>
    </row>
    <row r="184">
      <c r="I184" s="6"/>
    </row>
    <row r="185">
      <c r="I185" s="6"/>
    </row>
    <row r="186">
      <c r="I186" s="6"/>
    </row>
    <row r="187">
      <c r="I187" s="6"/>
    </row>
    <row r="188">
      <c r="I188" s="6"/>
    </row>
    <row r="189">
      <c r="I189" s="6"/>
    </row>
    <row r="190">
      <c r="I190" s="6"/>
    </row>
    <row r="191">
      <c r="I191" s="6"/>
    </row>
    <row r="192">
      <c r="I192" s="6"/>
    </row>
    <row r="193">
      <c r="I193" s="6"/>
    </row>
    <row r="194">
      <c r="I194" s="6"/>
    </row>
    <row r="195">
      <c r="I195" s="6"/>
    </row>
    <row r="196">
      <c r="I196" s="6"/>
    </row>
    <row r="197">
      <c r="I197" s="6"/>
    </row>
    <row r="198">
      <c r="I198" s="6"/>
    </row>
    <row r="199">
      <c r="I199" s="6"/>
    </row>
    <row r="200">
      <c r="I200" s="6"/>
    </row>
    <row r="201">
      <c r="I201" s="6"/>
    </row>
    <row r="202">
      <c r="I202" s="6"/>
    </row>
    <row r="203">
      <c r="I203" s="6"/>
    </row>
    <row r="204">
      <c r="I204" s="6"/>
    </row>
    <row r="205">
      <c r="I205" s="6"/>
    </row>
    <row r="206">
      <c r="I206" s="6"/>
    </row>
    <row r="207">
      <c r="I207" s="6"/>
    </row>
    <row r="208">
      <c r="I208" s="6"/>
    </row>
    <row r="209">
      <c r="I209" s="6"/>
    </row>
    <row r="210">
      <c r="I210" s="6"/>
    </row>
    <row r="211">
      <c r="I211" s="6"/>
    </row>
    <row r="212">
      <c r="I212" s="6"/>
    </row>
    <row r="213">
      <c r="I213" s="6"/>
    </row>
    <row r="214">
      <c r="I214" s="6"/>
    </row>
    <row r="215">
      <c r="I215" s="6"/>
    </row>
    <row r="216">
      <c r="I216" s="6"/>
    </row>
    <row r="217">
      <c r="I217" s="6"/>
    </row>
    <row r="218">
      <c r="I218" s="6"/>
    </row>
    <row r="219">
      <c r="I219" s="6"/>
    </row>
    <row r="220">
      <c r="I220" s="6"/>
    </row>
    <row r="221">
      <c r="I221" s="6"/>
    </row>
    <row r="222">
      <c r="I222" s="6"/>
    </row>
    <row r="223">
      <c r="I223" s="6"/>
    </row>
    <row r="224">
      <c r="I224" s="6"/>
    </row>
    <row r="225">
      <c r="I225" s="6"/>
    </row>
    <row r="226">
      <c r="I226" s="6"/>
    </row>
    <row r="227">
      <c r="I227" s="6"/>
    </row>
    <row r="228">
      <c r="I228" s="6"/>
    </row>
    <row r="229">
      <c r="I229" s="6"/>
    </row>
    <row r="230">
      <c r="I230" s="6"/>
    </row>
    <row r="231">
      <c r="I231" s="6"/>
    </row>
    <row r="232">
      <c r="I232" s="6"/>
    </row>
    <row r="233">
      <c r="I233" s="6"/>
    </row>
    <row r="234">
      <c r="I234" s="6"/>
    </row>
    <row r="235">
      <c r="I235" s="6"/>
    </row>
    <row r="236">
      <c r="I236" s="6"/>
    </row>
    <row r="237">
      <c r="I237" s="6"/>
    </row>
    <row r="238">
      <c r="I238" s="6"/>
    </row>
    <row r="239">
      <c r="I239" s="6"/>
    </row>
    <row r="240">
      <c r="I240" s="6"/>
    </row>
    <row r="241">
      <c r="I241" s="6"/>
    </row>
    <row r="242">
      <c r="I242" s="6"/>
    </row>
    <row r="243">
      <c r="I243" s="6"/>
    </row>
    <row r="244">
      <c r="I244" s="6"/>
    </row>
    <row r="245">
      <c r="I245" s="6"/>
    </row>
    <row r="246">
      <c r="I246" s="6"/>
    </row>
    <row r="247">
      <c r="I247" s="6"/>
    </row>
    <row r="248">
      <c r="I248" s="6"/>
    </row>
    <row r="249">
      <c r="I249" s="6"/>
    </row>
    <row r="250">
      <c r="I250" s="6"/>
    </row>
    <row r="251">
      <c r="I251" s="6"/>
    </row>
    <row r="252">
      <c r="I252" s="6"/>
    </row>
    <row r="253">
      <c r="I253" s="6"/>
    </row>
    <row r="254">
      <c r="I254" s="6"/>
    </row>
    <row r="255">
      <c r="I255" s="6"/>
    </row>
    <row r="256">
      <c r="I256" s="6"/>
    </row>
    <row r="257">
      <c r="I257" s="6"/>
    </row>
    <row r="258">
      <c r="I258" s="6"/>
    </row>
    <row r="259">
      <c r="I259" s="6"/>
    </row>
    <row r="260">
      <c r="I260" s="6"/>
    </row>
    <row r="261">
      <c r="I261" s="6"/>
    </row>
    <row r="262">
      <c r="I262" s="6"/>
    </row>
    <row r="263">
      <c r="I263" s="6"/>
    </row>
    <row r="264">
      <c r="I264" s="6"/>
    </row>
    <row r="265">
      <c r="I265" s="6"/>
    </row>
    <row r="266">
      <c r="I266" s="6"/>
    </row>
    <row r="267">
      <c r="I267" s="6"/>
    </row>
    <row r="268">
      <c r="I268" s="6"/>
    </row>
    <row r="269">
      <c r="I269" s="6"/>
    </row>
    <row r="270">
      <c r="I270" s="6"/>
    </row>
    <row r="271">
      <c r="I271" s="6"/>
    </row>
    <row r="272">
      <c r="I272" s="6"/>
    </row>
    <row r="273">
      <c r="I273" s="6"/>
    </row>
    <row r="274">
      <c r="I274" s="6"/>
    </row>
    <row r="275">
      <c r="I275" s="6"/>
    </row>
    <row r="276">
      <c r="I276" s="6"/>
    </row>
    <row r="277">
      <c r="I277" s="6"/>
    </row>
    <row r="278">
      <c r="I278" s="6"/>
    </row>
    <row r="279">
      <c r="I279" s="6"/>
    </row>
    <row r="280">
      <c r="I280" s="6"/>
    </row>
    <row r="281">
      <c r="I281" s="6"/>
    </row>
    <row r="282">
      <c r="I282" s="6"/>
    </row>
    <row r="283">
      <c r="I283" s="6"/>
    </row>
    <row r="284">
      <c r="I284" s="6"/>
    </row>
    <row r="285">
      <c r="I285" s="6"/>
    </row>
    <row r="286">
      <c r="I286" s="6"/>
    </row>
    <row r="287">
      <c r="I287" s="6"/>
    </row>
    <row r="288">
      <c r="I288" s="6"/>
    </row>
    <row r="289">
      <c r="I289" s="6"/>
    </row>
    <row r="290">
      <c r="I290" s="6"/>
    </row>
    <row r="291">
      <c r="I291" s="6"/>
    </row>
    <row r="292">
      <c r="I292" s="6"/>
    </row>
    <row r="293">
      <c r="I293" s="6"/>
    </row>
    <row r="294">
      <c r="I294" s="6"/>
    </row>
    <row r="295">
      <c r="I295" s="6"/>
    </row>
    <row r="296">
      <c r="I296" s="6"/>
    </row>
    <row r="297">
      <c r="I297" s="6"/>
    </row>
    <row r="298">
      <c r="I298" s="6"/>
    </row>
    <row r="299">
      <c r="I299" s="6"/>
    </row>
    <row r="300">
      <c r="I300" s="6"/>
    </row>
    <row r="301">
      <c r="I301" s="6"/>
    </row>
    <row r="302">
      <c r="I302" s="6"/>
    </row>
    <row r="303">
      <c r="I303" s="6"/>
    </row>
    <row r="304">
      <c r="I304" s="6"/>
    </row>
    <row r="305">
      <c r="I305" s="6"/>
    </row>
    <row r="306">
      <c r="I306" s="6"/>
    </row>
    <row r="307">
      <c r="I307" s="6"/>
    </row>
    <row r="308">
      <c r="I308" s="6"/>
    </row>
    <row r="309">
      <c r="I309" s="6"/>
    </row>
    <row r="310">
      <c r="I310" s="6"/>
    </row>
    <row r="311">
      <c r="I311" s="6"/>
    </row>
    <row r="312">
      <c r="I312" s="6"/>
    </row>
    <row r="313">
      <c r="I313" s="6"/>
    </row>
    <row r="314">
      <c r="I314" s="6"/>
    </row>
    <row r="315">
      <c r="I315" s="6"/>
    </row>
    <row r="316">
      <c r="I316" s="6"/>
    </row>
    <row r="317">
      <c r="I317" s="6"/>
    </row>
    <row r="318">
      <c r="I318" s="6"/>
    </row>
    <row r="319">
      <c r="I319" s="6"/>
    </row>
    <row r="320">
      <c r="I320" s="6"/>
    </row>
    <row r="321">
      <c r="I321" s="6"/>
    </row>
    <row r="322">
      <c r="I322" s="6"/>
    </row>
    <row r="323">
      <c r="I323" s="6"/>
    </row>
    <row r="324">
      <c r="I324" s="6"/>
    </row>
    <row r="325">
      <c r="I325" s="6"/>
    </row>
    <row r="326">
      <c r="I326" s="6"/>
    </row>
    <row r="327">
      <c r="I327" s="6"/>
    </row>
    <row r="328">
      <c r="I328" s="6"/>
    </row>
    <row r="329">
      <c r="I329" s="6"/>
    </row>
    <row r="330">
      <c r="I330" s="6"/>
    </row>
    <row r="331">
      <c r="I331" s="6"/>
    </row>
    <row r="332">
      <c r="I332" s="6"/>
    </row>
    <row r="333">
      <c r="I333" s="6"/>
    </row>
    <row r="334">
      <c r="I334" s="6"/>
    </row>
    <row r="335">
      <c r="I335" s="6"/>
    </row>
    <row r="336">
      <c r="I336" s="6"/>
    </row>
    <row r="337">
      <c r="I337" s="6"/>
    </row>
    <row r="338">
      <c r="I338" s="6"/>
    </row>
    <row r="339">
      <c r="I339" s="6"/>
    </row>
    <row r="340">
      <c r="I340" s="6"/>
    </row>
    <row r="341">
      <c r="I341" s="6"/>
    </row>
    <row r="342">
      <c r="I342" s="6"/>
    </row>
    <row r="343">
      <c r="I343" s="6"/>
    </row>
    <row r="344">
      <c r="I344" s="6"/>
    </row>
    <row r="345">
      <c r="I345" s="6"/>
    </row>
    <row r="346">
      <c r="I346" s="6"/>
    </row>
    <row r="347">
      <c r="I347" s="6"/>
    </row>
    <row r="348">
      <c r="I348" s="6"/>
    </row>
    <row r="349">
      <c r="I349" s="6"/>
    </row>
    <row r="350">
      <c r="I350" s="6"/>
    </row>
    <row r="351">
      <c r="I351" s="6"/>
    </row>
    <row r="352">
      <c r="I352" s="6"/>
    </row>
    <row r="353">
      <c r="I353" s="6"/>
    </row>
    <row r="354">
      <c r="I354" s="6"/>
    </row>
    <row r="355">
      <c r="I355" s="6"/>
    </row>
    <row r="356">
      <c r="I356" s="6"/>
    </row>
    <row r="357">
      <c r="I357" s="6"/>
    </row>
    <row r="358">
      <c r="I358" s="6"/>
    </row>
    <row r="359">
      <c r="I359" s="6"/>
    </row>
    <row r="360">
      <c r="I360" s="6"/>
    </row>
    <row r="361">
      <c r="I361" s="6"/>
    </row>
    <row r="362">
      <c r="I362" s="6"/>
    </row>
    <row r="363">
      <c r="I363" s="6"/>
    </row>
    <row r="364">
      <c r="I364" s="6"/>
    </row>
    <row r="365">
      <c r="I365" s="6"/>
    </row>
    <row r="366">
      <c r="I366" s="6"/>
    </row>
    <row r="367">
      <c r="I367" s="6"/>
    </row>
    <row r="368">
      <c r="I368" s="6"/>
    </row>
    <row r="369">
      <c r="I369" s="6"/>
    </row>
    <row r="370">
      <c r="I370" s="6"/>
    </row>
    <row r="371">
      <c r="I371" s="6"/>
    </row>
    <row r="372">
      <c r="I372" s="6"/>
    </row>
    <row r="373">
      <c r="I373" s="6"/>
    </row>
    <row r="374">
      <c r="I374" s="6"/>
    </row>
    <row r="375">
      <c r="I375" s="6"/>
    </row>
    <row r="376">
      <c r="I376" s="6"/>
    </row>
    <row r="377">
      <c r="I377" s="6"/>
    </row>
    <row r="378">
      <c r="I378" s="6"/>
    </row>
    <row r="379">
      <c r="I379" s="6"/>
    </row>
    <row r="380">
      <c r="I380" s="6"/>
    </row>
    <row r="381">
      <c r="I381" s="6"/>
    </row>
    <row r="382">
      <c r="I382" s="6"/>
    </row>
    <row r="383">
      <c r="I383" s="6"/>
    </row>
    <row r="384">
      <c r="I384" s="6"/>
    </row>
    <row r="385">
      <c r="I385" s="6"/>
    </row>
    <row r="386">
      <c r="I386" s="6"/>
    </row>
    <row r="387">
      <c r="I387" s="6"/>
    </row>
    <row r="388">
      <c r="I388" s="6"/>
    </row>
    <row r="389">
      <c r="I389" s="6"/>
    </row>
    <row r="390">
      <c r="I390" s="6"/>
    </row>
    <row r="391">
      <c r="I391" s="6"/>
    </row>
    <row r="392">
      <c r="I392" s="6"/>
    </row>
    <row r="393">
      <c r="I393" s="6"/>
    </row>
    <row r="394">
      <c r="I394" s="6"/>
    </row>
    <row r="395">
      <c r="I395" s="6"/>
    </row>
    <row r="396">
      <c r="I396" s="6"/>
    </row>
    <row r="397">
      <c r="I397" s="6"/>
    </row>
    <row r="398">
      <c r="I398" s="6"/>
    </row>
    <row r="399">
      <c r="I399" s="6"/>
    </row>
    <row r="400">
      <c r="I400" s="6"/>
    </row>
    <row r="401">
      <c r="I401" s="6"/>
    </row>
    <row r="402">
      <c r="I402" s="6"/>
    </row>
    <row r="403">
      <c r="I403" s="6"/>
    </row>
    <row r="404">
      <c r="I404" s="6"/>
    </row>
    <row r="405">
      <c r="I405" s="6"/>
    </row>
    <row r="406">
      <c r="I406" s="6"/>
    </row>
    <row r="407">
      <c r="I407" s="6"/>
    </row>
    <row r="408">
      <c r="I408" s="6"/>
    </row>
    <row r="409">
      <c r="I409" s="6"/>
    </row>
    <row r="410">
      <c r="I410" s="6"/>
    </row>
    <row r="411">
      <c r="I411" s="6"/>
    </row>
    <row r="412">
      <c r="I412" s="6"/>
    </row>
    <row r="413">
      <c r="I413" s="6"/>
    </row>
    <row r="414">
      <c r="I414" s="6"/>
    </row>
    <row r="415">
      <c r="I415" s="6"/>
    </row>
    <row r="416">
      <c r="I416" s="6"/>
    </row>
    <row r="417">
      <c r="I417" s="6"/>
    </row>
    <row r="418">
      <c r="I418" s="6"/>
    </row>
    <row r="419">
      <c r="I419" s="6"/>
    </row>
    <row r="420">
      <c r="I420" s="6"/>
    </row>
    <row r="421">
      <c r="I421" s="6"/>
    </row>
    <row r="422">
      <c r="I422" s="6"/>
    </row>
    <row r="423">
      <c r="I423" s="6"/>
    </row>
    <row r="424">
      <c r="I424" s="6"/>
    </row>
    <row r="425">
      <c r="I425" s="6"/>
    </row>
    <row r="426">
      <c r="I426" s="6"/>
    </row>
    <row r="427">
      <c r="I427" s="6"/>
    </row>
    <row r="428">
      <c r="I428" s="6"/>
    </row>
    <row r="429">
      <c r="I429" s="6"/>
    </row>
    <row r="430">
      <c r="I430" s="6"/>
    </row>
    <row r="431">
      <c r="I431" s="6"/>
    </row>
    <row r="432">
      <c r="I432" s="6"/>
    </row>
    <row r="433">
      <c r="I433" s="6"/>
    </row>
    <row r="434">
      <c r="I434" s="6"/>
    </row>
    <row r="435">
      <c r="I435" s="6"/>
    </row>
    <row r="436">
      <c r="I436" s="6"/>
    </row>
    <row r="437">
      <c r="I437" s="6"/>
    </row>
    <row r="438">
      <c r="I438" s="6"/>
    </row>
    <row r="439">
      <c r="I439" s="6"/>
    </row>
    <row r="440">
      <c r="I440" s="6"/>
    </row>
    <row r="441">
      <c r="I441" s="6"/>
    </row>
    <row r="442">
      <c r="I442" s="6"/>
    </row>
    <row r="443">
      <c r="I443" s="6"/>
    </row>
    <row r="444">
      <c r="I444" s="6"/>
    </row>
    <row r="445">
      <c r="I445" s="6"/>
    </row>
    <row r="446">
      <c r="I446" s="6"/>
    </row>
    <row r="447">
      <c r="I447" s="6"/>
    </row>
    <row r="448">
      <c r="I448" s="6"/>
    </row>
    <row r="449">
      <c r="I449" s="6"/>
    </row>
    <row r="450">
      <c r="I450" s="6"/>
    </row>
    <row r="451">
      <c r="I451" s="6"/>
    </row>
    <row r="452">
      <c r="I452" s="6"/>
    </row>
    <row r="453">
      <c r="I453" s="6"/>
    </row>
    <row r="454">
      <c r="I454" s="6"/>
    </row>
    <row r="455">
      <c r="I455" s="6"/>
    </row>
    <row r="456">
      <c r="I456" s="6"/>
    </row>
    <row r="457">
      <c r="I457" s="6"/>
    </row>
    <row r="458">
      <c r="I458" s="6"/>
    </row>
    <row r="459">
      <c r="I459" s="6"/>
    </row>
    <row r="460">
      <c r="I460" s="6"/>
    </row>
    <row r="461">
      <c r="I461" s="6"/>
    </row>
    <row r="462">
      <c r="I462" s="6"/>
    </row>
    <row r="463">
      <c r="I463" s="6"/>
    </row>
    <row r="464">
      <c r="I464" s="6"/>
    </row>
    <row r="465">
      <c r="I465" s="6"/>
    </row>
    <row r="466">
      <c r="I466" s="6"/>
    </row>
    <row r="467">
      <c r="I467" s="6"/>
    </row>
    <row r="468">
      <c r="I468" s="6"/>
    </row>
    <row r="469">
      <c r="I469" s="6"/>
    </row>
    <row r="470">
      <c r="I470" s="6"/>
    </row>
    <row r="471">
      <c r="I471" s="6"/>
    </row>
    <row r="472">
      <c r="I472" s="6"/>
    </row>
    <row r="473">
      <c r="I473" s="6"/>
    </row>
    <row r="474">
      <c r="I474" s="6"/>
    </row>
    <row r="475">
      <c r="I475" s="6"/>
    </row>
    <row r="476">
      <c r="I476" s="6"/>
    </row>
    <row r="477">
      <c r="I477" s="6"/>
    </row>
    <row r="478">
      <c r="I478" s="6"/>
    </row>
    <row r="479">
      <c r="I479" s="6"/>
    </row>
    <row r="480">
      <c r="I480" s="6"/>
    </row>
    <row r="481">
      <c r="I481" s="6"/>
    </row>
    <row r="482">
      <c r="I482" s="6"/>
    </row>
    <row r="483">
      <c r="I483" s="6"/>
    </row>
    <row r="484">
      <c r="I484" s="6"/>
    </row>
    <row r="485">
      <c r="I485" s="6"/>
    </row>
    <row r="486">
      <c r="I486" s="6"/>
    </row>
    <row r="487">
      <c r="I487" s="6"/>
    </row>
    <row r="488">
      <c r="I488" s="6"/>
    </row>
    <row r="489">
      <c r="I489" s="6"/>
    </row>
    <row r="490">
      <c r="I490" s="6"/>
    </row>
    <row r="491">
      <c r="I491" s="6"/>
    </row>
    <row r="492">
      <c r="I492" s="6"/>
    </row>
    <row r="493">
      <c r="I493" s="6"/>
    </row>
    <row r="494">
      <c r="I494" s="6"/>
    </row>
    <row r="495">
      <c r="I495" s="6"/>
    </row>
    <row r="496">
      <c r="I496" s="6"/>
    </row>
    <row r="497">
      <c r="I497" s="6"/>
    </row>
    <row r="498">
      <c r="I498" s="6"/>
    </row>
    <row r="499">
      <c r="I499" s="6"/>
    </row>
    <row r="500">
      <c r="I500" s="6"/>
    </row>
    <row r="501">
      <c r="I501" s="6"/>
    </row>
    <row r="502">
      <c r="I502" s="6"/>
    </row>
    <row r="503">
      <c r="I503" s="6"/>
    </row>
    <row r="504">
      <c r="I504" s="6"/>
    </row>
    <row r="505">
      <c r="I505" s="6"/>
    </row>
    <row r="506">
      <c r="I506" s="6"/>
    </row>
    <row r="507">
      <c r="I507" s="6"/>
    </row>
    <row r="508">
      <c r="I508" s="6"/>
    </row>
    <row r="509">
      <c r="I509" s="6"/>
    </row>
    <row r="510">
      <c r="I510" s="6"/>
    </row>
    <row r="511">
      <c r="I511" s="6"/>
    </row>
    <row r="512">
      <c r="I512" s="6"/>
    </row>
    <row r="513">
      <c r="I513" s="6"/>
    </row>
    <row r="514">
      <c r="I514" s="6"/>
    </row>
    <row r="515">
      <c r="I515" s="6"/>
    </row>
    <row r="516">
      <c r="I516" s="6"/>
    </row>
    <row r="517">
      <c r="I517" s="6"/>
    </row>
    <row r="518">
      <c r="I518" s="6"/>
    </row>
    <row r="519">
      <c r="I519" s="6"/>
    </row>
    <row r="520">
      <c r="I520" s="6"/>
    </row>
    <row r="521">
      <c r="I521" s="6"/>
    </row>
    <row r="522">
      <c r="I522" s="6"/>
    </row>
    <row r="523">
      <c r="I523" s="6"/>
    </row>
    <row r="524">
      <c r="I524" s="6"/>
    </row>
    <row r="525">
      <c r="I525" s="6"/>
    </row>
    <row r="526">
      <c r="I526" s="6"/>
    </row>
    <row r="527">
      <c r="I527" s="6"/>
    </row>
    <row r="528">
      <c r="I528" s="6"/>
    </row>
    <row r="529">
      <c r="I529" s="6"/>
    </row>
    <row r="530">
      <c r="I530" s="6"/>
    </row>
    <row r="531">
      <c r="I531" s="6"/>
    </row>
    <row r="532">
      <c r="I532" s="6"/>
    </row>
    <row r="533">
      <c r="I533" s="6"/>
    </row>
    <row r="534">
      <c r="I534" s="6"/>
    </row>
    <row r="535">
      <c r="I535" s="6"/>
    </row>
    <row r="536">
      <c r="I536" s="6"/>
    </row>
    <row r="537">
      <c r="I537" s="6"/>
    </row>
    <row r="538">
      <c r="I538" s="6"/>
    </row>
    <row r="539">
      <c r="I539" s="6"/>
    </row>
    <row r="540">
      <c r="I540" s="6"/>
    </row>
    <row r="541">
      <c r="I541" s="6"/>
    </row>
    <row r="542">
      <c r="I542" s="6"/>
    </row>
    <row r="543">
      <c r="I543" s="6"/>
    </row>
    <row r="544">
      <c r="I544" s="6"/>
    </row>
    <row r="545">
      <c r="I545" s="6"/>
    </row>
    <row r="546">
      <c r="I546" s="6"/>
    </row>
    <row r="547">
      <c r="I547" s="6"/>
    </row>
    <row r="548">
      <c r="I548" s="6"/>
    </row>
    <row r="549">
      <c r="I549" s="6"/>
    </row>
    <row r="550">
      <c r="I550" s="6"/>
    </row>
    <row r="551">
      <c r="I551" s="6"/>
    </row>
    <row r="552">
      <c r="I552" s="6"/>
    </row>
    <row r="553">
      <c r="I553" s="6"/>
    </row>
    <row r="554">
      <c r="I554" s="6"/>
    </row>
    <row r="555">
      <c r="I555" s="6"/>
    </row>
    <row r="556">
      <c r="I556" s="6"/>
    </row>
    <row r="557">
      <c r="I557" s="6"/>
    </row>
    <row r="558">
      <c r="I558" s="6"/>
    </row>
    <row r="559">
      <c r="I559" s="6"/>
    </row>
    <row r="560">
      <c r="I560" s="6"/>
    </row>
    <row r="561">
      <c r="I561" s="6"/>
    </row>
    <row r="562">
      <c r="I562" s="6"/>
    </row>
    <row r="563">
      <c r="I563" s="6"/>
    </row>
    <row r="564">
      <c r="I564" s="6"/>
    </row>
    <row r="565">
      <c r="I565" s="6"/>
    </row>
    <row r="566">
      <c r="I566" s="6"/>
    </row>
    <row r="567">
      <c r="I567" s="6"/>
    </row>
    <row r="568">
      <c r="I568" s="6"/>
    </row>
    <row r="569">
      <c r="I569" s="6"/>
    </row>
    <row r="570">
      <c r="I570" s="6"/>
    </row>
    <row r="571">
      <c r="I571" s="6"/>
    </row>
    <row r="572">
      <c r="I572" s="6"/>
    </row>
    <row r="573">
      <c r="I573" s="6"/>
    </row>
    <row r="574">
      <c r="I574" s="6"/>
    </row>
    <row r="575">
      <c r="I575" s="6"/>
    </row>
    <row r="576">
      <c r="I576" s="6"/>
    </row>
    <row r="577">
      <c r="I577" s="6"/>
    </row>
    <row r="578">
      <c r="I578" s="6"/>
    </row>
    <row r="579">
      <c r="I579" s="6"/>
    </row>
    <row r="580">
      <c r="I580" s="6"/>
    </row>
    <row r="581">
      <c r="I581" s="6"/>
    </row>
    <row r="582">
      <c r="I582" s="6"/>
    </row>
    <row r="583">
      <c r="I583" s="6"/>
    </row>
    <row r="584">
      <c r="I584" s="6"/>
    </row>
    <row r="585">
      <c r="I585" s="6"/>
    </row>
    <row r="586">
      <c r="I586" s="6"/>
    </row>
    <row r="587">
      <c r="I587" s="6"/>
    </row>
    <row r="588">
      <c r="I588" s="6"/>
    </row>
    <row r="589">
      <c r="I589" s="6"/>
    </row>
    <row r="590">
      <c r="I590" s="6"/>
    </row>
    <row r="591">
      <c r="I591" s="6"/>
    </row>
    <row r="592">
      <c r="I592" s="6"/>
    </row>
    <row r="593">
      <c r="I593" s="6"/>
    </row>
    <row r="594">
      <c r="I594" s="6"/>
    </row>
    <row r="595">
      <c r="I595" s="6"/>
    </row>
    <row r="596">
      <c r="I596" s="6"/>
    </row>
    <row r="597">
      <c r="I597" s="6"/>
    </row>
    <row r="598">
      <c r="I598" s="6"/>
    </row>
    <row r="599">
      <c r="I599" s="6"/>
    </row>
    <row r="600">
      <c r="I600" s="6"/>
    </row>
    <row r="601">
      <c r="I601" s="6"/>
    </row>
    <row r="602">
      <c r="I602" s="6"/>
    </row>
    <row r="603">
      <c r="I603" s="6"/>
    </row>
    <row r="604">
      <c r="I604" s="6"/>
    </row>
    <row r="605">
      <c r="I605" s="6"/>
    </row>
    <row r="606">
      <c r="I606" s="6"/>
    </row>
    <row r="607">
      <c r="I607" s="6"/>
    </row>
    <row r="608">
      <c r="I608" s="6"/>
    </row>
    <row r="609">
      <c r="I609" s="6"/>
    </row>
    <row r="610">
      <c r="I610" s="6"/>
    </row>
    <row r="611">
      <c r="I611" s="6"/>
    </row>
    <row r="612">
      <c r="I612" s="6"/>
    </row>
    <row r="613">
      <c r="I613" s="6"/>
    </row>
    <row r="614">
      <c r="I614" s="6"/>
    </row>
    <row r="615">
      <c r="I615" s="6"/>
    </row>
    <row r="616">
      <c r="I616" s="6"/>
    </row>
    <row r="617">
      <c r="I617" s="6"/>
    </row>
    <row r="618">
      <c r="I618" s="6"/>
    </row>
    <row r="619">
      <c r="I619" s="6"/>
    </row>
    <row r="620">
      <c r="I620" s="6"/>
    </row>
    <row r="621">
      <c r="I621" s="6"/>
    </row>
    <row r="622">
      <c r="I622" s="6"/>
    </row>
    <row r="623">
      <c r="I623" s="6"/>
    </row>
    <row r="624">
      <c r="I624" s="6"/>
    </row>
    <row r="625">
      <c r="I625" s="6"/>
    </row>
    <row r="626">
      <c r="I626" s="6"/>
    </row>
    <row r="627">
      <c r="I627" s="6"/>
    </row>
    <row r="628">
      <c r="I628" s="6"/>
    </row>
    <row r="629">
      <c r="I629" s="6"/>
    </row>
    <row r="630">
      <c r="I630" s="6"/>
    </row>
    <row r="631">
      <c r="I631" s="6"/>
    </row>
    <row r="632">
      <c r="I632" s="6"/>
    </row>
    <row r="633">
      <c r="I633" s="6"/>
    </row>
    <row r="634">
      <c r="I634" s="6"/>
    </row>
    <row r="635">
      <c r="I635" s="6"/>
    </row>
    <row r="636">
      <c r="I636" s="6"/>
    </row>
    <row r="637">
      <c r="I637" s="6"/>
    </row>
    <row r="638">
      <c r="I638" s="6"/>
    </row>
    <row r="639">
      <c r="I639" s="6"/>
    </row>
    <row r="640">
      <c r="I640" s="6"/>
    </row>
    <row r="641">
      <c r="I641" s="6"/>
    </row>
    <row r="642">
      <c r="I642" s="6"/>
    </row>
    <row r="643">
      <c r="I643" s="6"/>
    </row>
    <row r="644">
      <c r="I644" s="6"/>
    </row>
    <row r="645">
      <c r="I645" s="6"/>
    </row>
    <row r="646">
      <c r="I646" s="6"/>
    </row>
    <row r="647">
      <c r="I647" s="6"/>
    </row>
    <row r="648">
      <c r="I648" s="6"/>
    </row>
    <row r="649">
      <c r="I649" s="6"/>
    </row>
    <row r="650">
      <c r="I650" s="6"/>
    </row>
    <row r="651">
      <c r="I651" s="6"/>
    </row>
    <row r="652">
      <c r="I652" s="6"/>
    </row>
    <row r="653">
      <c r="I653" s="6"/>
    </row>
    <row r="654">
      <c r="I654" s="6"/>
    </row>
    <row r="655">
      <c r="I655" s="6"/>
    </row>
    <row r="656">
      <c r="I656" s="6"/>
    </row>
    <row r="657">
      <c r="I657" s="6"/>
    </row>
    <row r="658">
      <c r="I658" s="6"/>
    </row>
    <row r="659">
      <c r="I659" s="6"/>
    </row>
    <row r="660">
      <c r="I660" s="6"/>
    </row>
    <row r="661">
      <c r="I661" s="6"/>
    </row>
    <row r="662">
      <c r="I662" s="6"/>
    </row>
    <row r="663">
      <c r="I663" s="6"/>
    </row>
    <row r="664">
      <c r="I664" s="6"/>
    </row>
    <row r="665">
      <c r="I665" s="6"/>
    </row>
    <row r="666">
      <c r="I666" s="6"/>
    </row>
    <row r="667">
      <c r="I667" s="6"/>
    </row>
    <row r="668">
      <c r="I668" s="6"/>
    </row>
    <row r="669">
      <c r="I669" s="6"/>
    </row>
    <row r="670">
      <c r="I670" s="6"/>
    </row>
    <row r="671">
      <c r="I671" s="6"/>
    </row>
    <row r="672">
      <c r="I672" s="6"/>
    </row>
    <row r="673">
      <c r="I673" s="6"/>
    </row>
    <row r="674">
      <c r="I674" s="6"/>
    </row>
    <row r="675">
      <c r="I675" s="6"/>
    </row>
    <row r="676">
      <c r="I676" s="6"/>
    </row>
    <row r="677">
      <c r="I677" s="6"/>
    </row>
    <row r="678">
      <c r="I678" s="6"/>
    </row>
    <row r="679">
      <c r="I679" s="6"/>
    </row>
    <row r="680">
      <c r="I680" s="6"/>
    </row>
    <row r="681">
      <c r="I681" s="6"/>
    </row>
    <row r="682">
      <c r="I682" s="6"/>
    </row>
    <row r="683">
      <c r="I683" s="6"/>
    </row>
    <row r="684">
      <c r="I684" s="6"/>
    </row>
    <row r="685">
      <c r="I685" s="6"/>
    </row>
    <row r="686">
      <c r="I686" s="6"/>
    </row>
    <row r="687">
      <c r="I687" s="6"/>
    </row>
    <row r="688">
      <c r="I688" s="6"/>
    </row>
    <row r="689">
      <c r="I689" s="6"/>
    </row>
    <row r="690">
      <c r="I690" s="6"/>
    </row>
    <row r="691">
      <c r="I691" s="6"/>
    </row>
    <row r="692">
      <c r="I692" s="6"/>
    </row>
    <row r="693">
      <c r="I693" s="6"/>
    </row>
    <row r="694">
      <c r="I694" s="6"/>
    </row>
    <row r="695">
      <c r="I695" s="6"/>
    </row>
    <row r="696">
      <c r="I696" s="6"/>
    </row>
    <row r="697">
      <c r="I697" s="6"/>
    </row>
    <row r="698">
      <c r="I698" s="6"/>
    </row>
    <row r="699">
      <c r="I699" s="6"/>
    </row>
    <row r="700">
      <c r="I700" s="6"/>
    </row>
    <row r="701">
      <c r="I701" s="6"/>
    </row>
    <row r="702">
      <c r="I702" s="6"/>
    </row>
    <row r="703">
      <c r="I703" s="6"/>
    </row>
    <row r="704">
      <c r="I704" s="6"/>
    </row>
    <row r="705">
      <c r="I705" s="6"/>
    </row>
    <row r="706">
      <c r="I706" s="6"/>
    </row>
    <row r="707">
      <c r="I707" s="6"/>
    </row>
    <row r="708">
      <c r="I708" s="6"/>
    </row>
    <row r="709">
      <c r="I709" s="6"/>
    </row>
    <row r="710">
      <c r="I710" s="6"/>
    </row>
    <row r="711">
      <c r="I711" s="6"/>
    </row>
    <row r="712">
      <c r="I712" s="6"/>
    </row>
    <row r="713">
      <c r="I713" s="6"/>
    </row>
    <row r="714">
      <c r="I714" s="6"/>
    </row>
    <row r="715">
      <c r="I715" s="6"/>
    </row>
    <row r="716">
      <c r="I716" s="6"/>
    </row>
    <row r="717">
      <c r="I717" s="6"/>
    </row>
    <row r="718">
      <c r="I718" s="6"/>
    </row>
    <row r="719">
      <c r="I719" s="6"/>
    </row>
    <row r="720">
      <c r="I720" s="6"/>
    </row>
    <row r="721">
      <c r="I721" s="6"/>
    </row>
    <row r="722">
      <c r="I722" s="6"/>
    </row>
    <row r="723">
      <c r="I723" s="6"/>
    </row>
    <row r="724">
      <c r="I724" s="6"/>
    </row>
    <row r="725">
      <c r="I725" s="6"/>
    </row>
    <row r="726">
      <c r="I726" s="6"/>
    </row>
    <row r="727">
      <c r="I727" s="6"/>
    </row>
    <row r="728">
      <c r="I728" s="6"/>
    </row>
    <row r="729">
      <c r="I729" s="6"/>
    </row>
    <row r="730">
      <c r="I730" s="6"/>
    </row>
    <row r="731">
      <c r="I731" s="6"/>
    </row>
    <row r="732">
      <c r="I732" s="6"/>
    </row>
    <row r="733">
      <c r="I733" s="6"/>
    </row>
    <row r="734">
      <c r="I734" s="6"/>
    </row>
    <row r="735">
      <c r="I735" s="6"/>
    </row>
    <row r="736">
      <c r="I736" s="6"/>
    </row>
    <row r="737">
      <c r="I737" s="6"/>
    </row>
    <row r="738">
      <c r="I738" s="6"/>
    </row>
    <row r="739">
      <c r="I739" s="6"/>
    </row>
    <row r="740">
      <c r="I740" s="6"/>
    </row>
    <row r="741">
      <c r="I741" s="6"/>
    </row>
    <row r="742">
      <c r="I742" s="6"/>
    </row>
    <row r="743">
      <c r="I743" s="6"/>
    </row>
    <row r="744">
      <c r="I744" s="6"/>
    </row>
    <row r="745">
      <c r="I745" s="6"/>
    </row>
    <row r="746">
      <c r="I746" s="6"/>
    </row>
    <row r="747">
      <c r="I747" s="6"/>
    </row>
    <row r="748">
      <c r="I748" s="6"/>
    </row>
    <row r="749">
      <c r="I749" s="6"/>
    </row>
    <row r="750">
      <c r="I750" s="6"/>
    </row>
    <row r="751">
      <c r="I751" s="6"/>
    </row>
    <row r="752">
      <c r="I752" s="6"/>
    </row>
    <row r="753">
      <c r="I753" s="6"/>
    </row>
    <row r="754">
      <c r="I754" s="6"/>
    </row>
    <row r="755">
      <c r="I755" s="6"/>
    </row>
    <row r="756">
      <c r="I756" s="6"/>
    </row>
    <row r="757">
      <c r="I757" s="6"/>
    </row>
    <row r="758">
      <c r="I758" s="6"/>
    </row>
    <row r="759">
      <c r="I759" s="6"/>
    </row>
    <row r="760">
      <c r="I760" s="6"/>
    </row>
    <row r="761">
      <c r="I761" s="6"/>
    </row>
    <row r="762">
      <c r="I762" s="6"/>
    </row>
    <row r="763">
      <c r="I763" s="6"/>
    </row>
    <row r="764">
      <c r="I764" s="6"/>
    </row>
    <row r="765">
      <c r="I765" s="6"/>
    </row>
    <row r="766">
      <c r="I766" s="6"/>
    </row>
    <row r="767">
      <c r="I767" s="6"/>
    </row>
    <row r="768">
      <c r="I768" s="6"/>
    </row>
    <row r="769">
      <c r="I769" s="6"/>
    </row>
    <row r="770">
      <c r="I770" s="6"/>
    </row>
    <row r="771">
      <c r="I771" s="6"/>
    </row>
    <row r="772">
      <c r="I772" s="6"/>
    </row>
    <row r="773">
      <c r="I773" s="6"/>
    </row>
    <row r="774">
      <c r="I774" s="6"/>
    </row>
    <row r="775">
      <c r="I775" s="6"/>
    </row>
    <row r="776">
      <c r="I776" s="6"/>
    </row>
    <row r="777">
      <c r="I777" s="6"/>
    </row>
    <row r="778">
      <c r="I778" s="6"/>
    </row>
    <row r="779">
      <c r="I779" s="6"/>
    </row>
    <row r="780">
      <c r="I780" s="6"/>
    </row>
    <row r="781">
      <c r="I781" s="6"/>
    </row>
    <row r="782">
      <c r="I782" s="6"/>
    </row>
    <row r="783">
      <c r="I783" s="6"/>
    </row>
    <row r="784">
      <c r="I784" s="6"/>
    </row>
    <row r="785">
      <c r="I785" s="6"/>
    </row>
    <row r="786">
      <c r="I786" s="6"/>
    </row>
    <row r="787">
      <c r="I787" s="6"/>
    </row>
    <row r="788">
      <c r="I788" s="6"/>
    </row>
    <row r="789">
      <c r="I789" s="6"/>
    </row>
    <row r="790">
      <c r="I790" s="6"/>
    </row>
    <row r="791">
      <c r="I791" s="6"/>
    </row>
    <row r="792">
      <c r="I792" s="6"/>
    </row>
    <row r="793">
      <c r="I793" s="6"/>
    </row>
    <row r="794">
      <c r="I794" s="6"/>
    </row>
    <row r="795">
      <c r="I795" s="6"/>
    </row>
    <row r="796">
      <c r="I796" s="6"/>
    </row>
    <row r="797">
      <c r="I797" s="6"/>
    </row>
    <row r="798">
      <c r="I798" s="6"/>
    </row>
    <row r="799">
      <c r="I799" s="6"/>
    </row>
    <row r="800">
      <c r="I800" s="6"/>
    </row>
    <row r="801">
      <c r="I801" s="6"/>
    </row>
    <row r="802">
      <c r="I802" s="6"/>
    </row>
    <row r="803">
      <c r="I803" s="6"/>
    </row>
    <row r="804">
      <c r="I804" s="6"/>
    </row>
    <row r="805">
      <c r="I805" s="6"/>
    </row>
    <row r="806">
      <c r="I806" s="6"/>
    </row>
    <row r="807">
      <c r="I807" s="6"/>
    </row>
    <row r="808">
      <c r="I808" s="6"/>
    </row>
    <row r="809">
      <c r="I809" s="6"/>
    </row>
    <row r="810">
      <c r="I810" s="6"/>
    </row>
    <row r="811">
      <c r="I811" s="6"/>
    </row>
    <row r="812">
      <c r="I812" s="6"/>
    </row>
    <row r="813">
      <c r="I813" s="6"/>
    </row>
    <row r="814">
      <c r="I814" s="6"/>
    </row>
    <row r="815">
      <c r="I815" s="6"/>
    </row>
    <row r="816">
      <c r="I816" s="6"/>
    </row>
    <row r="817">
      <c r="I817" s="6"/>
    </row>
    <row r="818">
      <c r="I818" s="6"/>
    </row>
    <row r="819">
      <c r="I819" s="6"/>
    </row>
    <row r="820">
      <c r="I820" s="6"/>
    </row>
    <row r="821">
      <c r="I821" s="6"/>
    </row>
    <row r="822">
      <c r="I822" s="6"/>
    </row>
    <row r="823">
      <c r="I823" s="6"/>
    </row>
    <row r="824">
      <c r="I824" s="6"/>
    </row>
    <row r="825">
      <c r="I825" s="6"/>
    </row>
    <row r="826">
      <c r="I826" s="6"/>
    </row>
    <row r="827">
      <c r="I827" s="6"/>
    </row>
    <row r="828">
      <c r="I828" s="6"/>
    </row>
    <row r="829">
      <c r="I829" s="6"/>
    </row>
    <row r="830">
      <c r="I830" s="6"/>
    </row>
    <row r="831">
      <c r="I831" s="6"/>
    </row>
    <row r="832">
      <c r="I832" s="6"/>
    </row>
    <row r="833">
      <c r="I833" s="6"/>
    </row>
    <row r="834">
      <c r="I834" s="6"/>
    </row>
    <row r="835">
      <c r="I835" s="6"/>
    </row>
    <row r="836">
      <c r="I836" s="6"/>
    </row>
    <row r="837">
      <c r="I837" s="6"/>
    </row>
    <row r="838">
      <c r="I838" s="6"/>
    </row>
    <row r="839">
      <c r="I839" s="6"/>
    </row>
    <row r="840">
      <c r="I840" s="6"/>
    </row>
    <row r="841">
      <c r="I841" s="6"/>
    </row>
    <row r="842">
      <c r="I842" s="6"/>
    </row>
    <row r="843">
      <c r="I843" s="6"/>
    </row>
    <row r="844">
      <c r="I844" s="6"/>
    </row>
    <row r="845">
      <c r="I845" s="6"/>
    </row>
    <row r="846">
      <c r="I846" s="6"/>
    </row>
    <row r="847">
      <c r="I847" s="6"/>
    </row>
    <row r="848">
      <c r="I848" s="6"/>
    </row>
    <row r="849">
      <c r="I849" s="6"/>
    </row>
    <row r="850">
      <c r="I850" s="6"/>
    </row>
    <row r="851">
      <c r="I851" s="6"/>
    </row>
    <row r="852">
      <c r="I852" s="6"/>
    </row>
    <row r="853">
      <c r="I853" s="6"/>
    </row>
    <row r="854">
      <c r="I854" s="6"/>
    </row>
    <row r="855">
      <c r="I855" s="6"/>
    </row>
    <row r="856">
      <c r="I856" s="6"/>
    </row>
    <row r="857">
      <c r="I857" s="6"/>
    </row>
    <row r="858">
      <c r="I858" s="6"/>
    </row>
    <row r="859">
      <c r="I859" s="6"/>
    </row>
    <row r="860">
      <c r="I860" s="6"/>
    </row>
    <row r="861">
      <c r="I861" s="6"/>
    </row>
    <row r="862">
      <c r="I862" s="6"/>
    </row>
    <row r="863">
      <c r="I863" s="6"/>
    </row>
    <row r="864">
      <c r="I864" s="6"/>
    </row>
    <row r="865">
      <c r="I865" s="6"/>
    </row>
    <row r="866">
      <c r="I866" s="6"/>
    </row>
    <row r="867">
      <c r="I867" s="6"/>
    </row>
    <row r="868">
      <c r="I868" s="6"/>
    </row>
    <row r="869">
      <c r="I869" s="6"/>
    </row>
    <row r="870">
      <c r="I870" s="6"/>
    </row>
    <row r="871">
      <c r="I871" s="6"/>
    </row>
    <row r="872">
      <c r="I872" s="6"/>
    </row>
    <row r="873">
      <c r="I873" s="6"/>
    </row>
    <row r="874">
      <c r="I874" s="6"/>
    </row>
    <row r="875">
      <c r="I875" s="6"/>
    </row>
    <row r="876">
      <c r="I876" s="6"/>
    </row>
    <row r="877">
      <c r="I877" s="6"/>
    </row>
    <row r="878">
      <c r="I878" s="6"/>
    </row>
    <row r="879">
      <c r="I879" s="6"/>
    </row>
    <row r="880">
      <c r="I880" s="6"/>
    </row>
    <row r="881">
      <c r="I881" s="6"/>
    </row>
    <row r="882">
      <c r="I882" s="6"/>
    </row>
    <row r="883">
      <c r="I883" s="6"/>
    </row>
    <row r="884">
      <c r="I884" s="6"/>
    </row>
    <row r="885">
      <c r="I885" s="6"/>
    </row>
    <row r="886">
      <c r="I886" s="6"/>
    </row>
    <row r="887">
      <c r="I887" s="6"/>
    </row>
    <row r="888">
      <c r="I888" s="6"/>
    </row>
    <row r="889">
      <c r="I889" s="6"/>
    </row>
    <row r="890">
      <c r="I890" s="6"/>
    </row>
    <row r="891">
      <c r="I891" s="6"/>
    </row>
    <row r="892">
      <c r="I892" s="6"/>
    </row>
    <row r="893">
      <c r="I893" s="6"/>
    </row>
    <row r="894">
      <c r="I894" s="6"/>
    </row>
    <row r="895">
      <c r="I895" s="6"/>
    </row>
    <row r="896">
      <c r="I896" s="6"/>
    </row>
    <row r="897">
      <c r="I897" s="6"/>
    </row>
    <row r="898">
      <c r="I898" s="6"/>
    </row>
    <row r="899">
      <c r="I899" s="6"/>
    </row>
    <row r="900">
      <c r="I900" s="6"/>
    </row>
    <row r="901">
      <c r="I901" s="6"/>
    </row>
    <row r="902">
      <c r="I902" s="6"/>
    </row>
    <row r="903">
      <c r="I903" s="6"/>
    </row>
    <row r="904">
      <c r="I904" s="6"/>
    </row>
    <row r="905">
      <c r="I905" s="6"/>
    </row>
    <row r="906">
      <c r="I906" s="6"/>
    </row>
    <row r="907">
      <c r="I907" s="6"/>
    </row>
    <row r="908">
      <c r="I908" s="6"/>
    </row>
    <row r="909">
      <c r="I909" s="6"/>
    </row>
    <row r="910">
      <c r="I910" s="6"/>
    </row>
    <row r="911">
      <c r="I911" s="6"/>
    </row>
    <row r="912">
      <c r="I912" s="6"/>
    </row>
    <row r="913">
      <c r="I913" s="6"/>
    </row>
    <row r="914">
      <c r="I914" s="6"/>
    </row>
    <row r="915">
      <c r="I915" s="6"/>
    </row>
    <row r="916">
      <c r="I916" s="6"/>
    </row>
    <row r="917">
      <c r="I917" s="6"/>
    </row>
    <row r="918">
      <c r="I918" s="6"/>
    </row>
    <row r="919">
      <c r="I919" s="6"/>
    </row>
    <row r="920">
      <c r="I920" s="6"/>
    </row>
    <row r="921">
      <c r="I921" s="6"/>
    </row>
    <row r="922">
      <c r="I922" s="6"/>
    </row>
    <row r="923">
      <c r="I923" s="6"/>
    </row>
    <row r="924">
      <c r="I924" s="6"/>
    </row>
    <row r="925">
      <c r="I925" s="6"/>
    </row>
    <row r="926">
      <c r="I926" s="6"/>
    </row>
    <row r="927">
      <c r="I927" s="6"/>
    </row>
    <row r="928">
      <c r="I928" s="6"/>
    </row>
    <row r="929">
      <c r="I929" s="6"/>
    </row>
    <row r="930">
      <c r="I930" s="6"/>
    </row>
    <row r="931">
      <c r="I931" s="6"/>
    </row>
    <row r="932">
      <c r="I932" s="6"/>
    </row>
    <row r="933">
      <c r="I933" s="6"/>
    </row>
    <row r="934">
      <c r="I934" s="6"/>
    </row>
    <row r="935">
      <c r="I935" s="6"/>
    </row>
    <row r="936">
      <c r="I936" s="6"/>
    </row>
    <row r="937">
      <c r="I937" s="6"/>
    </row>
    <row r="938">
      <c r="I938" s="6"/>
    </row>
    <row r="939">
      <c r="I939" s="6"/>
    </row>
    <row r="940">
      <c r="I940" s="6"/>
    </row>
    <row r="941">
      <c r="I941" s="6"/>
    </row>
    <row r="942">
      <c r="I942" s="6"/>
    </row>
    <row r="943">
      <c r="I943" s="6"/>
    </row>
    <row r="944">
      <c r="I944" s="6"/>
    </row>
    <row r="945">
      <c r="I945" s="6"/>
    </row>
    <row r="946">
      <c r="I946" s="6"/>
    </row>
    <row r="947">
      <c r="I947" s="6"/>
    </row>
    <row r="948">
      <c r="I948" s="6"/>
    </row>
    <row r="949">
      <c r="I949" s="6"/>
    </row>
    <row r="950">
      <c r="I950" s="6"/>
    </row>
    <row r="951">
      <c r="I951" s="6"/>
    </row>
    <row r="952">
      <c r="I952" s="6"/>
    </row>
    <row r="953">
      <c r="I953" s="6"/>
    </row>
    <row r="954">
      <c r="I954" s="6"/>
    </row>
    <row r="955">
      <c r="I955" s="6"/>
    </row>
    <row r="956">
      <c r="I956" s="6"/>
    </row>
    <row r="957">
      <c r="I957" s="6"/>
    </row>
    <row r="958">
      <c r="I958" s="6"/>
    </row>
    <row r="959">
      <c r="I959" s="6"/>
    </row>
    <row r="960">
      <c r="I960" s="6"/>
    </row>
    <row r="961">
      <c r="I961" s="6"/>
    </row>
    <row r="962">
      <c r="I962" s="6"/>
    </row>
    <row r="963">
      <c r="I963" s="6"/>
    </row>
    <row r="964">
      <c r="I964" s="6"/>
    </row>
    <row r="965">
      <c r="I965" s="6"/>
    </row>
    <row r="966">
      <c r="I966" s="6"/>
    </row>
    <row r="967">
      <c r="I967" s="6"/>
    </row>
    <row r="968">
      <c r="I968" s="6"/>
    </row>
    <row r="969">
      <c r="I969" s="6"/>
    </row>
    <row r="970">
      <c r="I970" s="6"/>
    </row>
    <row r="971">
      <c r="I971" s="6"/>
    </row>
    <row r="972">
      <c r="I972" s="6"/>
    </row>
    <row r="973">
      <c r="I973" s="6"/>
    </row>
    <row r="974">
      <c r="I974" s="6"/>
    </row>
    <row r="975">
      <c r="I975" s="6"/>
    </row>
    <row r="976">
      <c r="I976" s="6"/>
    </row>
    <row r="977">
      <c r="I977" s="6"/>
    </row>
    <row r="978">
      <c r="I978" s="6"/>
    </row>
    <row r="979">
      <c r="I979" s="6"/>
    </row>
    <row r="980">
      <c r="I980" s="6"/>
    </row>
    <row r="981">
      <c r="I981" s="6"/>
    </row>
    <row r="982">
      <c r="I982" s="6"/>
    </row>
    <row r="983">
      <c r="I983" s="6"/>
    </row>
    <row r="984">
      <c r="I984" s="6"/>
    </row>
    <row r="985">
      <c r="I985" s="6"/>
    </row>
    <row r="986">
      <c r="I986" s="6"/>
    </row>
    <row r="987">
      <c r="I987" s="6"/>
    </row>
    <row r="988">
      <c r="I988" s="6"/>
    </row>
    <row r="989">
      <c r="I989" s="6"/>
    </row>
    <row r="990">
      <c r="I990" s="6"/>
    </row>
    <row r="991">
      <c r="I991" s="6"/>
    </row>
    <row r="992">
      <c r="I992" s="6"/>
    </row>
    <row r="993">
      <c r="I993" s="6"/>
    </row>
    <row r="994">
      <c r="I994" s="6"/>
    </row>
    <row r="995">
      <c r="I995" s="6"/>
    </row>
    <row r="996">
      <c r="I996" s="6"/>
    </row>
    <row r="997">
      <c r="I997" s="6"/>
    </row>
    <row r="998">
      <c r="I998" s="6"/>
    </row>
    <row r="999">
      <c r="I999" s="6"/>
    </row>
    <row r="1000">
      <c r="I1000" s="6"/>
    </row>
    <row r="1001">
      <c r="I1001" s="6"/>
    </row>
    <row r="1002">
      <c r="I1002" s="6"/>
    </row>
    <row r="1003">
      <c r="I1003" s="6"/>
    </row>
    <row r="1004">
      <c r="I1004" s="6"/>
    </row>
    <row r="1005">
      <c r="I1005" s="6"/>
    </row>
    <row r="1006">
      <c r="I1006" s="6"/>
    </row>
    <row r="1007">
      <c r="I1007" s="6"/>
    </row>
    <row r="1008">
      <c r="I1008" s="6"/>
    </row>
    <row r="1009">
      <c r="I1009" s="6"/>
    </row>
    <row r="1010">
      <c r="I1010" s="6"/>
    </row>
    <row r="1011">
      <c r="I1011" s="6"/>
    </row>
  </sheetData>
  <conditionalFormatting sqref="C15:F23">
    <cfRule type="colorScale" priority="1">
      <colorScale>
        <cfvo type="min"/>
        <cfvo type="max"/>
        <color rgb="FFFFFFFF"/>
        <color rgb="FFE67C73"/>
      </colorScale>
    </cfRule>
  </conditionalFormatting>
  <conditionalFormatting sqref="C41:D49">
    <cfRule type="colorScale" priority="2">
      <colorScale>
        <cfvo type="min"/>
        <cfvo type="max"/>
        <color rgb="FFFFFFFF"/>
        <color rgb="FFE67C73"/>
      </colorScale>
    </cfRule>
  </conditionalFormatting>
  <drawing r:id="rId1"/>
</worksheet>
</file>